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42.xml"/>
  <Override ContentType="application/vnd.openxmlformats-officedocument.spreadsheetml.pivotTable+xml" PartName="/xl/pivotTables/pivotTable33.xml"/>
  <Override ContentType="application/vnd.openxmlformats-officedocument.spreadsheetml.pivotTable+xml" PartName="/xl/pivotTables/pivotTable41.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39.xml"/>
  <Override ContentType="application/vnd.openxmlformats-officedocument.spreadsheetml.pivotTable+xml" PartName="/xl/pivotTables/pivotTable11.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4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3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31.xml"/>
  <Override ContentType="application/vnd.openxmlformats-officedocument.spreadsheetml.pivotTable+xml" PartName="/xl/pivotTables/pivotTable22.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35.xml"/>
  <Override ContentType="application/vnd.openxmlformats-officedocument.spreadsheetml.pivotTable+xml" PartName="/xl/pivotTables/pivotTable13.xml"/>
  <Override ContentType="application/vnd.openxmlformats-officedocument.spreadsheetml.pivotTable+xml" PartName="/xl/pivotTables/pivotTable37.xml"/>
  <Override ContentType="application/vnd.openxmlformats-officedocument.spreadsheetml.pivotTable+xml" PartName="/xl/pivotTables/pivotTable5.xml"/>
  <Override ContentType="application/vnd.openxmlformats-officedocument.spreadsheetml.pivotTable+xml" PartName="/xl/pivotTables/pivotTable30.xml"/>
  <Override ContentType="application/vnd.openxmlformats-officedocument.spreadsheetml.pivotTable+xml" PartName="/xl/pivotTables/pivotTable2.xml"/>
  <Override ContentType="application/vnd.openxmlformats-officedocument.spreadsheetml.pivotTable+xml" PartName="/xl/pivotTables/pivotTable34.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38.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4"/>
    <sheet state="visible" name="Model Comparisons" sheetId="2" r:id="rId5"/>
    <sheet state="visible" name="Grok" sheetId="3" r:id="rId6"/>
    <sheet state="visible" name="Gemini" sheetId="4" r:id="rId7"/>
    <sheet state="visible" name="Chat GPT" sheetId="5" r:id="rId8"/>
    <sheet state="visible" name="Perplexity AI" sheetId="6" r:id="rId9"/>
    <sheet state="visible" name="Claude" sheetId="7" r:id="rId10"/>
    <sheet state="visible" name="Subject Specifics" sheetId="8" r:id="rId11"/>
  </sheets>
  <definedNames/>
  <calcPr/>
  <pivotCaches>
    <pivotCache cacheId="0" r:id="rId12"/>
  </pivotCaches>
</workbook>
</file>

<file path=xl/sharedStrings.xml><?xml version="1.0" encoding="utf-8"?>
<sst xmlns="http://schemas.openxmlformats.org/spreadsheetml/2006/main" count="2677" uniqueCount="347">
  <si>
    <t>AI Models</t>
  </si>
  <si>
    <t>Company</t>
  </si>
  <si>
    <t>Prompt</t>
  </si>
  <si>
    <t xml:space="preserve">Response </t>
  </si>
  <si>
    <t>Subject</t>
  </si>
  <si>
    <t>Length</t>
  </si>
  <si>
    <t>Readability</t>
  </si>
  <si>
    <t>Hallucination</t>
  </si>
  <si>
    <t>Personality</t>
  </si>
  <si>
    <t>User Intent</t>
  </si>
  <si>
    <t>Sources Cited</t>
  </si>
  <si>
    <t>Grok</t>
  </si>
  <si>
    <t>Xai</t>
  </si>
  <si>
    <t>Are there any species of birds that are poisonous to eat?</t>
  </si>
  <si>
    <t>Yes, a few bird species are considered toxic or dangerous to eat due to the presence of poisonous compounds in their tissues. The most notable examples include:
1. **Pitohui (Hooded and Variable Pitohui)**: Found in New Guinea, these birds are among the few known poisonous birds. They contain batrachotoxin, a potent neurotoxin also found in some poison dart frogs, in their skin and feathers. Eating them can cause numbness, burning, nausea, or, in severe cases, more serious neurological effects.
2. **Blue-Capped Ifrita**: Also native to New Guinea, this bird carries similar batrachotoxins in its tissues, likely acquired from its diet of toxic insects. Consuming it could lead to toxic effects similar to those of the pitohui.
3. **Spur-Winged Goose**: Found in Africa, this species can become toxic if it consumes certain poisonous beetles, like the blister beetle, which contain cantharidin. Eating the goose’s flesh can cause severe gastrointestinal distress or even organ damage.
4. **Common Quail (Coturnix coturnix)**: In some cases, quail can become toxic during migration if they feed on certain plants, like hemlock, leading to a condition called **coturnism**. Symptoms include muscle pain, weakness, and, in rare cases, kidney failure.
The toxicity in these birds often comes from their diet, where they accumulate toxins from plants or insects. While rare, these cases highlight that not all birds are safe to eat, especially in specific regions or conditions. Always exercise caution with wild-caught birds, as their diet and environment can influence their safety for consumption.</t>
  </si>
  <si>
    <t>STEM</t>
  </si>
  <si>
    <t>Long</t>
  </si>
  <si>
    <t>Medium difficulty</t>
  </si>
  <si>
    <t>No</t>
  </si>
  <si>
    <t xml:space="preserve">Cold/Mechanical </t>
  </si>
  <si>
    <t>Intent Met</t>
  </si>
  <si>
    <t>Gemini</t>
  </si>
  <si>
    <t>Google</t>
  </si>
  <si>
    <t>Yes, there are several species of birds that are poisonous to eat. This is a rare trait among birds, but a handful of species have been documented to be toxic. It's important to note that these birds are not venomous (they don't inject poison), but rather they are poisonous, meaning their flesh, skin, or feathers contain toxins that can be harmful or even deadly if ingested or touched.
Most of these birds don't produce the toxins themselves. Instead, they acquire them from their diet, typically from poisonous insects. The toxins then accumulate in their bodies, particularly in their skin and feathers, as a defense mechanism against predators.
Here are some of the most well-known examples:
* **Pitohui birds (Papua New Guinea):** The most famous examples are the Hooded Pitohui and other species in this genus. Their skin and feathers contain a potent neurotoxin called **homobatrachotoxin**, the same type of poison found in poison dart frogs. Touching or eating them can cause numbness, tingling, and even more severe symptoms.
* **Blue-capped Ifrita (Papua New Guinea):** This bird, also from New Guinea, has the same type of batrachotoxin in its skin and feathers, likely from its diet of beetles.
* **Spur-winged Goose (Africa):** This large goose can become poisonous to eat by ingesting toxic blister beetles, which contain a poison called **cantharidin**. The toxin accumulates in their tissues, making them dangerous for humans to consume.
* **European Quail:** While a common food source, European Quail can become poisonous during certain times of their migration. This is thought to be due to them eating specific poisonous plants, such as hemlock. Consuming a toxic quail can lead to a condition known as **coturnism**, which causes muscle paralysis, kidney failure, and other severe symptoms.
* **Ruffed Grouse (North America):** Similar to the quail, the Ruffed Grouse can become poisonous if it consumes certain plants, such as mountain laurel.
The toxicity of these birds can be a seasonal or regional issue, depending on their diet and location. In some cases, locals are aware of these birds' toxicity and have a name for them, like the Papuan term "rubbish bird" for the Pitohui.</t>
  </si>
  <si>
    <t>Yes</t>
  </si>
  <si>
    <t>Chat GPT</t>
  </si>
  <si>
    <t>Open AI</t>
  </si>
  <si>
    <t xml:space="preserve">Yes — a few bird species are actually poisonous (or at least toxic) to eat, though it’s very rare compared to poisonous amphibians or insects. The best-known examples come from New Guinea:
* **Pitohuis** – Several species of pitohuis (like the hooded pitohui) have toxins in their skin and feathers. The compound is **batrachotoxin**, the same deadly toxin found in poison dart frogs. These birds likely acquire it from eating certain beetles, and the toxin can make them dangerous to handle or eat.
* **Ifrita kowaldi (Blue-capped ifrit)** – Another New Guinea bird that contains batrachotoxin in its skin and feathers. It’s thought to be a defense against predators and parasites.
* **Spur-winged goose (Plectropterus gambensis)** – Found in sub-Saharan Africa, this waterfowl isn’t inherently toxic but often becomes poisonous because it eats blister beetles containing **cantharidin**, a highly toxic chemical. Humans who eat the goose risk poisoning.
Aside from these, most birds are safe to eat, though certain species may carry parasites or accumulate toxins from their diet (for example, seabirds that feed on toxic fish).
👉 Do you want me to also cover **historical reports** of bird-related poisonings (like with quail and “coturnism”)?
</t>
  </si>
  <si>
    <t>Medium</t>
  </si>
  <si>
    <t>Easy</t>
  </si>
  <si>
    <t>Perplexity AI</t>
  </si>
  <si>
    <t>Perplexity AI, Inc.</t>
  </si>
  <si>
    <t>Yes, there are several bird species known to be poisonous to eat, mainly due to toxins present in their skin, feathers, or tissues that are derived from their diet or environment.[1][2][7]
### Well-Known Poisonous Birds- **Pitohui (Hooded Pitohui and relatives)**: Found in Papua New Guinea, these birds are considered among the most toxic. Their skin and feathers contain batrachotoxin, a powerful neurotoxin. While this toxin is not usually lethal if touched or ingested in small amounts, it can cause numbness, burning sensations, and other symptoms. The toxicity is thought to be sourced from their diet, particularly beetles from the genus Choresine.[1][5][7][12]
- **Blue-capped Ifrita**: Also native to New Guinea, this bird carries batrachotoxin in its feathers and skin by consuming certain toxic insects. Like the pitohui, the concentration of toxin in its tissues deters predators and can cause illness if eaten.[5][7]
- **Spur-winged Goose**: Common in Sub-Saharan Africa, these geese become toxic through consumption of blister beetles. The beetles contain cantharidin, which is stored in the goose’s tissue and can be fatal if consumed by humans.[7][9][1]
- **European/Common Quail**: These birds become toxic during autumn migration due to consumption of toxic seeds (like hemlock or certain mint plants). Poisoning from eating quail, called coturnism, can cause muscle pain, nausea, vomiting, and in rare cases, even severe symptoms like kidney failure or cardiac arrest.[2][9]
- **Bronzewing Pigeon**: Native to Australia and New Guinea, these pigeons eat poisonous gastrolobium plants, resulting in tissues that are dangerous to mammals if consumed, though human cases are rare.[9][13][2]
- **Red Warbler**: Found in Mexico and the U.S., this bird can build up toxins in its tissues from eating certain toxic berries, causing mild poisoning if ingested.[13][9]
- **Little Shrike-thrush**: These birds sequester batrachotoxin from insects, making contact with their feathers and skin hazardous and potentially causing rashes, nausea, or vomiting.[9]
- **Ruffed Grouse**: Across North America, these birds may accumulate toxins from eating poisonous plants, especially in winter, which can cause illness in people who eat their meat.[13][9]
- **Eurasian Hoopoe**: This species produces toxic secretions from its glands. Eating its meat or handling it can cause nausea, vomiting, and skin irritation.[9]
### Why Are These Birds Poisonous?Most poisonous birds acquire toxins from their environment and diet, particularly from toxic insects or poisonous plants, which they store in their skin, feathers, or tissues. These birds are immune to the toxins but predators (including humans) may experience adverse effects when handling or consuming them.[1][9]
### Practical ConcernsAlthough poisoning from eating these birds is well-documented, it is often rare and usually depends on factors like migration period, local diet, and amount consumed. Most poisonous birds are avoided by locals familiar with their risks.[1][2][7][9][12]
Below is a photograph of the hooded pitohui, a notably poisonous bird from New Guinea.
[1](https://en.wikipedia.org/wiki/Toxic_bird)
[2](https://centerofthewest.org/2024/05/06/poisonous-birds/)
[3](https://timesofindia.indiatimes.com/etimes/trending/6-poisonous-birds-from-around-the-world/articleshow/122095043.cms)
[4](https://www.discoverwildlife.com/animal-facts/birds/poisonous-birds)
[5](https://www.forbes.com/sites/scotttravers/2024/05/17/meet-5-poisonous-birds-of-nature-introduced-in-6-beautiful-sketches/)
[6](https://www.reddit.com/r/askscience/comments/c2a3i4/are_there_any_examples_of_venomous_or_toxic_birds/)
[7](https://www.sciencing.com/1776246/birds-actually-poisonous/)
[8](https://www.youtube.com/watch?v=4Q10Q8amkc0)
[9](https://a-z-animals.com/blog/poisonous-birds/)
[10](https://pmc.ncbi.nlm.nih.gov/articles/PMC9492810/)
[11](https://www.futurity.org/poisonous-birds-new-guinea-2898722-2/)
[12](https://www.nationalgeographic.com/animals/article/poisonous-birds-new-guinea)
[13](https://www.birdspot.co.uk/bird-brain/are-there-any-poisonous-birds)</t>
  </si>
  <si>
    <t>Hard</t>
  </si>
  <si>
    <t>Went Beyond Intent</t>
  </si>
  <si>
    <t>Claude</t>
  </si>
  <si>
    <t>Anthropic</t>
  </si>
  <si>
    <t>Yes, there are several species of birds that are poisonous to eat, though they're relatively rare compared to other toxic animals. Here are the main examples:
Pitohuis - These are the most well-known poisonous birds, found in Papua New Guinea. The hooded pitohui and variable pitohui contain batrachotoxin, the same potent neurotoxin found in poison dart frogs. The toxin is concentrated in their skin and feathers, making them dangerous to handle or consume.
Ifrita - Another New Guinea bird, the blue-capped ifrita also contains batrachotoxin. Local people have long known to avoid these birds.
Little shrikethrush - Found in Australia, this species has also been found to contain batrachotoxin, though in lower concentrations.
Common quail - While not inherently poisonous, European quail can become toxic during certain times of year when they feed on hemlock seeds during migration. This can cause "coturnism," a condition that causes muscle pain and can damage the kidneys.
Some spur-winged geese - These African waterfowl can become toxic when they feed on blister beetles, concentrating the beetles' cantharidin toxin in their tissues.
The poisonous birds get their toxins from their diet - they consume toxic insects, plants, or other organisms and concentrate these compounds in their bodies. This is different from venomous animals that produce toxins themselves. The toxicity serves as a defense mechanism against predators.
It's worth noting that these toxic birds are generally not found in areas where they'd be commonly hunted for food, and local populations typically know to avoid them.</t>
  </si>
  <si>
    <t>Can you please explain gravity?</t>
  </si>
  <si>
    <t>### What is Gravity?
Gravity is one of the four fundamental forces of nature (along with electromagnetism, the strong nuclear force, and the weak nuclear force), and it's the force that attracts any two objects with mass toward each other. In everyday terms, it's why things fall to the ground, why the Moon orbits Earth, and why planets stay in their paths around the Sun. It's an invisible pull that acts over vast distances, but it's also the weakest of these forces—about 10^38 times weaker than the strong nuclear force, for example.
#### Newton's View: A Universal Attraction
The story of gravity as we know it starts with Isaac Newton in the late 1600s. Legend has it that watching an apple fall from a tree inspired him to realize that the same force pulling the apple down also keeps the Moon in orbit. Newton formalized this in his **law of universal gravitation** (published in 1687):
\[ F = G \frac{m_1 m_2}{r^2} \]
Here's what that means:
- **F** is the gravitational force between two objects.
- **m₁** and **m₂** are the masses of the two objects (e.g., Earth and you).
- **r** is the distance between their centers.
- **G** is the gravitational constant (about 6.67430 × 10⁻¹¹ m³ kg⁻¹ s⁻²), a tiny number that shows how weak the force is.
To understand this equation: The force gets stronger with bigger masses but weaker with greater distance (falling off as the square of the distance). For example, on Earth's surface, this gives us an acceleration due to gravity of about 9.8 m/s²—meaning if you drop something, it speeds up at that rate toward the ground. This law works incredibly well for most practical purposes, like calculating satellite orbits or predicting tides.
#### Einstein's Revolution: Curved Spacetime
Newton's model is a great approximation, but it's not the full picture. In 1915, Albert Einstein upended everything with his **general theory of relativity**. He proposed that gravity isn't a "force" in the traditional sense but the result of mass and energy warping the fabric of **spacetime**—the four-dimensional blend of space and time we live in. Imagine spacetime as a trampoline: A heavy bowling ball (like the Sun) placed in the center creates a dip, and a marble (like Earth) rolls around it in a curve, mimicking an orbit. That's gravity in action.
This theory explains things Newton couldn't, like:
- The slight wobble in Mercury's orbit around the Sun.
- Light bending around massive objects (confirmed during a 1919 solar eclipse).
- **Gravitational waves**: Ripples in spacetime from colliding black holes or neutron stars, first detected by LIGO in 2015. These waves travel at the speed of light.
Relativity also predicts extreme phenomena, like black holes—regions where gravity is so intense that nothing, not even light, can escape.
#### Why Does Gravity Matter? (And Some Fun Facts)
- **On Earth**: It gives us weight, shapes weather patterns, drives ocean tides, and even influences plant growth (via gravitropism).
- **In the Universe**: It sculpted galaxies from the Big Bang's chaos and holds everything together on cosmic scales.
- Fun fact: Gravity affects antimatter the same way as regular matter—antihydrogen falls "down," not up. Another: It's so weak that a tiny magnet can lift a paperclip against Earth's entire gravitational pull!
- Variations: Earth's gravity isn't uniform; it's slightly stronger over mountains (more mass) and weaker at the equator (due to spinning).
#### The Big Mysteries: Quantum Gravity
Physics isn't done with gravity yet. Newton's and Einstein's theories don't mesh with **quantum mechanics**, which rules the subatomic world. Scientists are hunting for a "theory of everything" that includes quantum gravity—perhaps via string theory or loop quantum gravity—to explain black hole interiors or the universe's earliest moments. Experiments like those at CERN and space missions (e.g., NASA's GRACE satellites mapping Earth's gravity field) keep pushing the boundaries.
In short, gravity is the universe's gentle architect: weak enough to let atoms form stars, strong enough to bind them into worlds. If you have a specific angle—like black holes or anti-gravity sci-fi—let me know!</t>
  </si>
  <si>
    <t>Gravity is the fundamental force of attraction between all objects that have mass or energy. It's what keeps us on the ground, makes things fall, and holds planets in orbit around the Sun. Despite being the weakest of the four fundamental forces of nature (the others being the strong nuclear force, the weak nuclear force, and electromagnetism), its long-range and cumulative nature make it the dominant force on a cosmic scale.
Newton's Law of Universal Gravitation
The most well-known and widely used description of gravity was developed by Sir Isaac Newton in the 17th century. Newton's theory posits that gravity is a force that acts between any two objects with mass. He formulated a law that states:
The force of gravity is directly proportional to the product of the two masses. This means that if you increase the mass of either object, the gravitational force between them increases.
The force of gravity is inversely proportional to the square of the distance between them. This means that as objects move farther apart, the gravitational force between them rapidly decreases.
Newton's law works exceptionally well for most everyday calculations, from launching rockets to predicting planetary orbits.
Einstein's Theory of General Relativity
While Newton's theory was revolutionary, it had limitations. It couldn't explain why gravity worked the way it did, and it couldn't account for certain astronomical observations. In the early 20th century, Albert Einstein proposed a new way of thinking about gravity with his Theory of General Relativity.
Einstein's theory doesn't describe gravity as a force, but rather as a curvature of spacetime. Spacetime is a four-dimensional fabric that combines the three dimensions of space with the one dimension of time. According to this theory, objects with mass and energy warp or bend this fabric, much like a bowling ball would create a dent on a stretched trampoline. Other objects, such as planets or light, simply follow the curved path created by this warp.
This geometric description of gravity explains phenomena that Newton's theory couldn't, such as the bending of light around massive objects like stars and the precise orbit of the planet Mercury. While it's more complex, it is the most accurate model of gravity we have today.</t>
  </si>
  <si>
    <t xml:space="preserve">Sure! Let’s break it down simply first, then a bit deeper:
### The Simple Idea
Gravity is the force that pulls objects with mass toward each other. It’s why:
* You stay on the ground instead of floating into space.
* An apple falls from a tree.
* The Moon orbits Earth, and Earth orbits the Sun.
Every object with mass creates gravity — even you! But compared to planets and stars, your gravity is tiny.
---
### Newton’s View (Classical Gravity)
In the 1600s, **Isaac Newton** described gravity with this law:
$$
F = G \frac{m_1 m_2}{r^2}
$$
* $F$ = gravitational force
* $m_1, m_2$ = masses of two objects
* $r$ = distance between their centers
* $G$ = gravitational constant
This law explains things like planetary orbits and why heavier objects feel a stronger pull.
---
### Einstein’s View (Modern Gravity)
In the 1900s, **Albert Einstein’s General Relativity** gave us a deeper picture:
* Mass and energy bend **space-time**, like a bowling ball sitting on a trampoline.
* Other objects move along the curves in space-time created by that mass.
* So, gravity isn’t just a “pulling force” — it’s the shape of space-time itself.
This explains phenomena Newton’s laws couldn’t, like the bending of light around stars (gravitational lensing) or the existence of black holes.
---
### Everyday Consequences
* On Earth: Gravity gives you **weight** (your mass × Earth’s pull).
* In space: Astronauts feel “weightless” because they’re in **free fall** around Earth, not because there’s no gravity.
* In the cosmos: Gravity is the architect — it shapes galaxies, governs star formation, and holds the universe’s large-scale structure together.
---
Would you like me to also explain it with a **hands-on analogy** (like trampolines, rubber sheets, or water flows) to make Einstein’s version easier to picture?
</t>
  </si>
  <si>
    <t>Gravity is the universal force of attraction that acts between all objects that have mass—it pulls them toward each other.[1][2][5][7]
### How Gravity Works
- Gravity causes objects to fall to Earth and keeps planets in orbit around the Sun.[2][1]
- Everything with mass generates gravity, and the more massive an object, the stronger its gravitational pull.[5][2]
- On Earth, gravity gives things weight and keeps us anchored to the surface.[1][2]
- The acceleration due to gravity on Earth's surface is about $$9.8 \, \text{meters per second squared}$$ ($$9.8 \, \text{m/s}^2$$)—meaning a dropped object speeds up by that amount every second as it falls.[7][1]
### Newton's and Einstein's Theories
- **Isaac Newton** described gravity as a force between two objects, proportional to their masses and inversely proportional to the square of the distance between them. The formula is:
  $$
  F = G\frac{m_1 m_2}{r^2}
  $$
  Where $$F$$ is the gravitational force, $$G$$ is the gravitational constant, $$m_1$$ and $$m_2$$ are the masses of the two objects, and $$r$$ is the distance between their centers.[6][5]
- **Albert Einstein** revolutionized our understanding by describing gravity as the bending (curvature) of space and time around massive objects, not just a force pulling objects together. This is known as the theory of general relativity.[5][1]
### Everyday Effects and Importance
- Gravity keeps the Moon in orbit around Earth and holds the atmosphere in place.[2][1]
- It influences tides, water flow, plant growth, and many essential aspects of biology and geology.[6][5]
- Although gravity is the weakest of all fundamental forces, its effects dominate on large scales (planets, stars, galaxies) due to its infinite range and the fact that it always attracts.[1][5]
Gravity, in essence, is what shapes the universe and enables life as it is known.[7][2][5][1]
[1](https://www.britannica.com/science/gravity-physics)
[2](https://spaceplace.nasa.gov/what-is-gravity/)
[3](https://web.stanford.edu/~buzzt/gravity.html)
[4](https://www.energy.gov/science/doe-explainsgravity)
[5](https://en.wikipedia.org/wiki/Gravity)
[6](https://byjus.com/physics/gravity/)
[7](https://study.com/learn/lesson/gravity-concept-equation.html)
[8](https://study.com/learn/lesson/video/gravity-concept-equation.html)
[9](https://www.youtube.com/watch?v=ljRlB6TuMOU)
[10](https://www.reddit.com/r/AskPhysics/comments/167z72b/what_actually_is_gravity/)</t>
  </si>
  <si>
    <t>Gravity is one of the four fundamental forces of nature, and it's the force that attracts objects with mass toward each other. Here's how it works:
**The Basic Concept**
Every object with mass creates a gravitational field around it. The more massive an object, the stronger its gravitational pull. This is why you're pulled toward Earth (which is very massive) rather than toward a nearby person (who has much less mass).
**Newton's Understanding**
Isaac Newton described gravity as a force that acts between any two objects with mass. His law of universal gravitation states that the force depends on:
- The masses of both objects (more mass = stronger attraction)
- The distance between them (closer objects attract more strongly)
- It follows an "inverse square" relationship, meaning if you double the distance, the gravitational force becomes four times weaker
**Einstein's Deeper Insight**
Einstein revolutionized our understanding with his theory of general relativity. He showed that gravity isn't really a "force" pulling objects together. Instead, massive objects actually bend and curve spacetime itself. What we experience as gravity is objects following the straightest possible paths through this curved spacetime.
Imagine a bowling ball placed on a stretched rubber sheet - it creates a depression. If you roll a marble nearby, it will curve toward the bowling ball, not because of a mysterious force, but because it's following the curved surface.
**Everyday Examples**
- Earth's gravity keeps you on the ground and causes things to fall
- The Moon's gravity causes ocean tides
- The Sun's gravity keeps planets in orbit
- Even you have a gravitational field, though it's incredibly weak
**Key Properties**
- Gravity always attracts (never repels)
- It has infinite range (though it gets weaker with distance)
- It affects all forms of matter and energy
- It's actually the weakest of the four fundamental forces
This is why you can easily lift a paperclip with a small magnet (electromagnetic force) despite Earth's entire gravitational field pulling down on it.</t>
  </si>
  <si>
    <t>What is the chemical equation for photosynthesis?</t>
  </si>
  <si>
    <t>The chemical equation for photosynthesis is:
\[ 6CO_2 + 6H_2O \xrightarrow{\text{light}} C_6H_{12}O_6 + 6O_2 \]
**Explanation**:
- **Reactants**: 6 molecules of carbon dioxide (\(CO_2\)) and 6 molecules of water (\(H_2O\)).
- **Energy source**: Light energy, absorbed by chlorophyll in plants.
- **Products**: 1 molecule of glucose (\(C_6H_{12}O_6\)), which stores energy, and 6 molecules of oxygen (\(O_2\)), released as a byproduct.
This process occurs in the chloroplasts of plant cells, converting light energy into chemical energy stored in glucose, which fuels plant growth and releases oxygen into the atmosphere.</t>
  </si>
  <si>
    <t>Short</t>
  </si>
  <si>
    <t>The overall balanced chemical equation for **photosynthesis** is:
$6CO_2 + 6H_2O + \text{light energy} \rightarrow C_6H_{12}O_6 + 6O_2$
---
### **Explanation of the Equation**
The equation shows how plants, algae, and some bacteria convert light energy into chemical energy in the form of sugar. The equation can be broken down into two main parts:
* **Reactants (on the left side of the arrow):** These are the ingredients needed for the process to occur.
    * $6CO_2$ represents six molecules of **carbon dioxide**, which is taken in from the atmosphere.
    * $6H_2O$ represents six molecules of **water**, which is absorbed from the soil.
    * **Light energy** is the necessary energy source, usually from the Sun, that drives the reaction.
* **Products (on the right side of the arrow):** These are the substances created by the process.
    * $C_6H_{12}O_6$ represents one molecule of **glucose**, a simple sugar that serves as food for the plant.
    * $6O_2$ represents six molecules of **oxygen gas**, which is released into the atmosphere as a byproduct. 
This equation is a simplified summary of a complex, multi-step process that occurs within the chloroplasts of plant cells. It highlights the fundamental conversion of inorganic molecules ($CO_2$ and $H_2O$) into an organic molecule (glucose) and oxygen.
[Photosynthesis Equation Song](https://www.youtube.com/watch?v=ktq4ArcEf1E)
This video provides a creative, musical way to remember the chemical equation for photosynthesis.
http://googleusercontent.com/youtube_content/0</t>
  </si>
  <si>
    <t xml:space="preserve">The overall chemical equation for **photosynthesis** (in plants, algae, and some bacteria) is usually written as:
$$
6 \, CO_2 + 6 \, H_2O + \text{light energy} \;\;\longrightarrow\;\; C_6H_{12}O_6 + 6 \, O_2
$$
### Breaking it down:
* **Reactants**:
  * $CO_2$ = carbon dioxide (from the air)
  * $H_2O$ = water (from the soil)
  * light energy (from the Sun, captured by chlorophyll)
* **Products**:
  * $C_6H_{12}O_6$ = glucose (a simple sugar, used for energy and building materials)
  * $O_2$ = oxygen (released into the atmosphere)
---
👉 Technically, photosynthesis happens in two stages:
1. **Light-dependent reactions** (convert light into chemical energy, producing ATP, NADPH, and oxygen).
2. **Light-independent reactions** (Calvin cycle, using ATP and NADPH to fix carbon dioxide into glucose).
Do you want me to also show the **detailed stepwise reactions** (with ATP/NADPH involved), or just keep to the overall summary equation?
</t>
  </si>
  <si>
    <t>The balanced chemical equation for photosynthesis is:
$$
6 \text{CO}_2 + 6 \text{H}_2\text{O} + \text{light energy} \rightarrow \text{C}_6\text{H}_{12}\text{O}_6 + 6 \text{O}_2
$$
This equation means that six molecules of carbon dioxide and six molecules of water, using the energy from sunlight, are converted into one molecule of glucose and six molecules of oxygen.[1][3][6][9]
- **Reactants:** Carbon dioxide (CO₂), water (H₂O), and light energy
- **Products:** Glucose (C₆H₁₂O₆) and oxygen (O₂)[3][9][1]
This captures the core chemical transformation driving life on Earth by converting light energy into chemical energy stored in sugar molecules.[1][3]
[1](https://chemistrytalk.org/photosynthesis-equation-formula-products/)
[2](https://www.youtube.com/watch?v=mGbB4r56rLE)
[3](https://www.albert.io/blog/photosynthesis-equation-ap-biology-review/)
[4](https://bio.libretexts.org/Bookshelves/Microbiology/Microbiology_(Boundless)/05:_Microbial_Metabolism/5.11:_Phototrophy/5.11B:_Main_Structures_and_Summary_of_Photosynthesis)
[5](https://byjus.com/photosynthesis-formula/)
[6](https://www.forbes.com/sites/trevornace/2019/08/26/the-photosynthesis-equation-made-easy/)
[7](https://teachchemistry.org/classroom-resources/achieving-a-photosynthetic-balance)
[8](https://www.youtube.com/watch?v=P1FhLx3RomQ)
[9](https://www.savemyexams.com/igcse/biology/cie/23/revision-notes/6-plant-nutrition/6-1-photosynthesis-and-leaf-structure/6-1-8-photosynthesis-chemical-equation/)</t>
  </si>
  <si>
    <t>The overall chemical equation for photosynthesis is:
**6CO₂ + 6H₂O + light energy → C₆H₁₂O₆ + 6O₂**
In words: Six molecules of carbon dioxide plus six molecules of water, in the presence of light energy, produce one molecule of glucose plus six molecules of oxygen.
**What's happening:**
- **Reactants**: Carbon dioxide (from air) and water (from soil)
- **Energy source**: Light (usually sunlight)
- **Products**: Glucose (sugar for energy/food) and oxygen (released as waste)
**The Process**
Photosynthesis actually occurs in two main stages:
1. **Light-dependent reactions** (in the thylakoids): Light energy is captured and used to split water molecules, releasing oxygen and creating energy carriers (ATP and NADPH)
2. **Light-independent reactions/Calvin cycle** (in the stroma): The energy carriers are used to convert CO₂ into glucose
**Why it matters:**
- Plants use glucose for energy and building other molecules
- The oxygen released is what we breathe
- This process removes CO₂ from the atmosphere
- It's the foundation of most food chains on Earth
**Location**: This happens primarily in the chloroplasts of plant cells, specifically in structures called thylakoids (for light reactions) and the stroma (for the Calvin cycle).
This equation represents one of the most important biological processes on Earth, essentially converting light energy into chemical energy that powers most life on our planet.</t>
  </si>
  <si>
    <t>What is the area of a triangle with base 8 and height 5?</t>
  </si>
  <si>
    <t>The area of a triangle is calculated using the formula:
\[ \text{Area} = \frac{1}{2} \times \text{base} \times \text{height} \]
Given a base of 8 and a height of 5:
\[ \text{Area} = \frac{1}{2} \times 8 \times 5 = \frac{1}{2} \times 40 = 20 \]
The area of the triangle is 20 square units.</t>
  </si>
  <si>
    <t>The area of a triangle is calculated using the formula $A = \frac{1}{2} \times \text{base} \times \text{height}$.
Given a base of 8 and a height of 5, the calculation is:
$A = \frac{1}{2} \times 8 \times 5 = 20$
The area of the triangle is 20 square units.</t>
  </si>
  <si>
    <t xml:space="preserve">We use the formula for the area of a triangle:
$$
\text{Area} = \tfrac{1}{2} \times \text{base} \times \text{height}
$$
Substitute the values:
$$
\text{Area} = \tfrac{1}{2} \times 8 \times 5
$$
Step by step:
* $8 \times 5 = 40$
* $\tfrac{1}{2} \times 40 = 20$
✅ The area of the triangle is **20 square units**.
</t>
  </si>
  <si>
    <t>The area of a triangle with a base of 8 units and a height of 5 units is 20 square units.
### Calculation
The formula for the area $$A$$ of a triangle is:
$$
A = \frac{1}{2} \times \text{base} \times \text{height}
$$
Substituting the values:
$$
A = \frac{1}{2} \times 8 \times 5 = 20
$$
So, the area is 20 square units.[1]
[1](https://study.com/learn/lesson/gravity-concept-equation.html)</t>
  </si>
  <si>
    <t>The area of a triangle with base 8 and height 5 is **20 square units**.
**Formula**: Area = ½ × base × height
**Calculation**: 
Area = ½ × 8 × 5 = ½ × 40 = 20
The formula works because a triangle is essentially half of a rectangle. If you imagine a rectangle with the same base and height (8 × 5 = 40), the triangle would be exactly half of that area.</t>
  </si>
  <si>
    <t>Can you explain AI cannibalization?</t>
  </si>
  <si>
    <t>AI cannibalization, sometimes called **model collapse** or **data poisoning** in the context of AI, refers to a phenomenon where artificial intelligence models, particularly generative AI or machine learning systems, degrade in performance or quality due to being trained on data that increasingly includes AI-generated outputs rather than diverse, high-quality human-generated data. This creates a feedback loop where the model’s outputs become less accurate, less diverse, or more biased over time. Let’s break it down:
### How AI Cannibalization Happens
1. **Training on AI-Generated Data**:
   - Modern AI models, like large language models or image generators, are often trained on vast datasets scraped from the internet (e.g., text from websites, social media, or images).
   - As AI-generated content (e.g., text from models like me, images from DALL-E, or synthetic data) floods the internet, it gets mixed into these training datasets.
   - If a model is trained on its own outputs (or outputs from similar models), it’s essentially “eating itself”—hence the term cannibalization.
2. **Feedback Loop**:
   - When AI models are retrained or fine-tuned on datasets containing their own outputs, they can amplify errors, biases, or patterns present in that synthetic data.
   - For example, if a language model generates slightly repetitive or stereotypical text, and that text is used to train the next version, the new model may produce even more repetitive or low-quality outputs.
3. **Loss of Diversity**:
   - Human-generated data tends to be varied, nuanced, and contextually rich. AI-generated data, however, often follows patterns dictated by the model’s design or training biases.
   - Over time, as AI-generated content dominates, the training data becomes less diverse, leading to models that produce predictable, generic, or even nonsensical outputs—a phenomenon dubbed **model collapse**.
4. **Real-World Analogy**:
   - Think of it like photocopying a photocopy: Each generation loses some clarity and detail. Similarly, AI models trained on AI outputs lose the richness of human creativity and variability.
### Examples and Evidence
- **Research Findings**:
  - A 2024 study published in *Nature* (titled "AI models collapse when trained on recursively generated data") demonstrated that when generative models are trained on their own outputs over multiple generations, they exhibit reduced diversity and can converge on low-quality or repetitive results. For instance, a language model might start producing gibberish or overly simplistic text.
  - In image generation, models like Stable Diffusion trained on synthetic images may start producing distorted or artifact-heavy visuals.
- **Practical Cases**:
  - In 2023, researchers noted that chatbots trained on internet forums began mimicking AI-like responses (e.g., formulaic phrasing) because those forums were increasingly filled with bot-generated posts.
  - Search engines and content platforms have reported challenges in filtering AI-generated spam, which can dilute the quality of data available for training future models.
### Why It’s a Problem
- **Quality Degradation**: Models become less creative, less accurate, and more prone to errors or biases.
- **Bias Amplification**: If AI outputs contain subtle biases (e.g., cultural stereotypes), these get reinforced in subsequent training cycles.
- **Loss of Human Perspective**: AI trained on AI data drifts away from reflecting real human experiences, reducing its utility for tasks requiring nuanced understanding.
- **Economic and Ethical Impacts**: Poor-quality AI outputs can mislead users, degrade trust in AI systems, or harm industries relying on high-quality data (e.g., journalism, education).
### Preventing AI Cannibalization
- **Curated Datasets**: Prioritize high-quality, human-generated data for training, using careful filtering to exclude AI-generated content.
- **Watermarking**: Some AI systems embed watermarks in their outputs (e.g., invisible patterns in images or text metadata) to help identify and exclude synthetic data from training sets.
- **Diverse Data Sources**: Incorporate varied, real-world data (e.g., books, verified human contributions) to maintain richness and avoid over-reliance on internet-scraped content.
- **Regular Model Evaluation**: Monitor models for signs of collapse, like reduced diversity or increased error rates, and retrain with fresh data if needed.
- **Transparency**: Platforms like X can help by labeling AI-generated content, making it easier to filter out during data collection.
### Broader Implications
AI cannibalization is a growing concern as generative AI becomes ubiquitous. It’s like a digital ecosystem where synthetic content could outcompete human creativity if unchecked, leading to a “monoculture” of AI outputs. This issue ties into broader debates about data ethics, the sustainability of AI development, and the need for regulatory frameworks to ensure AI systems remain grounded in human-generated knowledge.
If you want a deeper dive into a specific aspect—like how this affects image generation or what X posts say about it—let me know!</t>
  </si>
  <si>
    <t>AI cannibalization refers to a few related phenomena, but primarily, it's the idea that as AI systems become more prevalent and sophisticated, they begin to **degrade the very data they are trained on**. This creates a negative feedback loop that can lead to a decline in the quality and accuracy of future AI models.
-----
### How AI Cannibalization Works
The core of the problem is that modern large language models (LLMs) and generative AIs are trained on vast datasets, a huge portion of which is scraped from the internet. Historically, this data was almost entirely created by humans. However, as more and more AI-generated content (text, images, code, etc.) floods the web, the ratio of human-created data to AI-created data is changing.
When a new AI model is trained on a dataset that contains a significant amount of content from previous AIs, a few things can happen:
  * **Model Collapse:** This is a term used by researchers to describe what happens when models are recursively trained on their own output. The AI starts to "forget" the original, diverse, human-created data distribution. Over time, the output becomes more generic, less creative, and can even start to produce nonsensical or inaccurate information. It's like repeatedly making a photocopy of a photocopy—the quality gets worse with each generation.
  * **Propagation of Errors and Biases:** If an AI model generates biased or factually incorrect content, and that content is then used to train the next generation of models, those errors can be amplified and spread throughout the AI ecosystem.
  * **Homogenization of Content:** As AIs learn from each other, their outputs tend to become increasingly similar, leading to a loss of diversity and originality.
-----
### Broader Business Context
Beyond the technical aspect, "AI cannibalization" can also describe the business risk where a company's new AI product or service undercuts its existing revenue streams.
For example, a company might introduce an AI-powered customer service chatbot that is so effective it reduces the need for its existing human customer support team, leading to a decline in jobs or a shift in the business model. Similarly, a news organization that uses AI to summarize articles for search engine snippets might find that users get all the information they need from the summary and never click through to the original article, thereby cannibalizing their own website traffic and advertising revenue.
AI is a transformative force, but it presents a unique challenge: the very tools designed to learn and grow may, in the process, diminish the quality of the information they rely on.
Learn more about how an AI might start [to eat itself and why that's a problem](https://www.google.com/search?q=https://www.youtube.com/watch%3Fv%3DJcE79w42n5o).</t>
  </si>
  <si>
    <t xml:space="preserve">Yes — "AI cannibalization" is a term people are starting to use in a few contexts, but it usually means **when AI ends up competing with, replacing, or undermining the very sources it relies on**. Let me break it down into the main senses:
---
### 1. **Content &amp; Search Cannibalization**
* AI tools (like chatbots or search engines with AI answers) can **pull answers directly from websites** without sending users to those sites.
* This "cannibalizes" the traffic that websites depend on, even though those websites provided the data the AI learned from.
* Example: An AI-powered search result answers your cooking question immediately, so you never click the recipe blog.
---
### 2. **Business/Product Cannibalization**
* Companies may launch AI products that **overlap with or replace their own older products/services**.
* Example: A company with a profitable customer-support outsourcing business might launch an AI helpbot that makes the outsourcing less necessary, eating into its own revenue.
---
### 3. **AI Training Cannibalization** (feedback loops)
* As more content online is AI-generated, new AI models trained on that content risk **“cannibalizing” human-created data**.
* This can cause **quality decay** (models learning from models, amplifying errors, flattening originality).
* Some researchers call this a "model collapse."
---
### In Short
AI cannibalization = **when AI adoption reduces the value of the very ecosystem (human work, data sources, or even the company’s own offerings) that sustains it.**
---
Would you like me to draw a **diagram/visual analogy** (like a cycle showing AI eating its own tail) to make the feedback loop version easier to picture?
</t>
  </si>
  <si>
    <t>AI cannibalization refers to situations in which artificial intelligence models, especially generative models, are trained using data that was itself produced by earlier AI models instead of original, human-created information. This creates a feedback loop where new models feed on the outputs of older models, potentially leading to degraded quality, loss of diversity, and propagation of errors or biases in the resulting AI content.[1]
### Core Concepts
- **Model Collapse:** When AI continually trains on AI-generated content, each generation becomes more disconnected from true, original data, leading to less accurate and less useful results over time.[1]
- **Quality Degradation:** The outputs can become increasingly similar, repetitive, and less informative, eventually reducing trust in the usefulness of AI-generated information.[1]
- **Bias Amplification:** Any bias or inaccuracy present in the original AI models can multiply, making problems much worse as more models are “cannibalized” from the same flawed sources.[1]
- **Erosion of Innovation:** As models rely less on original human-created data and more on recycled outputs, genuine creativity and diversity in AI-generated knowledge decline.[1]
### Broader Usage
- In search engine optimization (SEO), AI content cannibalization can reference AI tools scraping web pages and creating paraphrased but semantically similar content. This increases competition for rankings by flooding search engines with AI-rewritten versions that dilute the presence and authority of the original content.[2]
AI cannibalization can ultimately erode the quality and trustworthiness of AI applications unless models are regularly refreshed with data that genuinely reflects real, diverse human experience.AI cannibalization is the phenomenon where AI models, particularly generative ones, are trained on data that includes previous outputs generated by other AI models rather than original human-created content. This leads to a feedback loop where models absorb and amplify the limitations, biases, and errors of earlier AI outputs, rather than introducing new or original insights.[2][1]
### Key Effects of AI Cannibalization
- **Model Collapse:** Repeatedly training on AI-generated data can make each new generation of models less accurate and more homogeneous, ultimately degrading overall quality and usefulness.[1]
- **Bias Amplification:** Any biases or mistakes present in the original model can become worse over time as they’re passed down and reinforced in subsequent models.[1]
- **Innovation and Diversity Decline:** Models risk losing exposure to real-world, diverse perspectives, which limits new insights and reduces originality in their outputs.[1]
### SEO and Digital Content
In SEO, AI cannibalization also refers to AI tools scraping and rewriting content from original sources into similar versions, leading to content dilution. Search engines may see the rewritten AI content as “new,” causing the original source to lose ranking and authority, which can go unnoticed by content creators.[2]
AI cannibalization is a growing concern for model quality and information reliability, highlighting the need for strong data curation and the use of fresh, human-originated information.[2][1]
[1](https://www.techtarget.com/whatis/feature/AI-cannibalism-explained)
[2](https://torro.io/blog/ai-content-cannibalization-the-hidden-seo-threat-of-2025)
[3](https://www.growth-memo.com/p/standby-as-google-cannibalizes-itself)
[4](https://en.wikipedia.org/wiki/Cannibalization_(marketing))
[5](https://corporatefinanceinstitute.com/resources/management/market-cannibalization/)
[6](https://aytm.com/post/product-cannibalization)
[7](https://carto.com/blog/cannibalization-analysis-tutorial)
[8](https://johngalt.com/learn/blog/brand-cannibalization-and-the-halo-effectwhat-does-it-mean-in-demand-planning)
[9](https://saifr.ai/blog/the-secret-to-a-successful-ai-model-self-cannibalization)
[10](https://www.theadfirm.net/how-ai-tools-can-detect-cannibalization-and-fix-internal-competing-keywords-2/)</t>
  </si>
  <si>
    <t>AI cannibalization refers to several related phenomena where AI systems negatively impact each other or their own effectiveness. Here are the main types:
**Data Cannibalization**
This occurs when AI-generated content increasingly dominates the internet, and future AI systems are trained on this synthetic data rather than original human-created content. This can lead to:
- Model degradation over successive generations
- Loss of diversity in training data
- Potential amplification of biases or errors
- A feedback loop where AI systems become increasingly detached from human knowledge and creativity
**Market Cannibalization**
This happens when AI tools compete with and replace each other or their own market segments:
- New AI capabilities making previous AI products obsolete
- AI companies' own innovations disrupting their existing revenue streams
- Different AI applications competing for the same use cases
**Performance Cannibalization**
When AI systems interfere with each other's effectiveness:
- Multiple AI agents working at cross-purposes
- AI-generated content diluting search results or recommendation quality
- Over-optimization in one area causing problems in related areas
**Economic Cannibalization**
Where AI adoption creates economic disruption:
- Automation replacing jobs faster than new opportunities are created
- AI companies disrupting traditional industries including their own business partners
- Short-term profits undermining long-term market stability
**The Broader Concern**
The most significant worry is about the long-term sustainability of AI development if we create a world where human-generated content becomes increasingly rare, potentially limiting the quality and diversity of future AI training data.
This is an active area of research and debate in the AI community, with various proposed solutions being explored.</t>
  </si>
  <si>
    <t>What is a niche in ecology?</t>
  </si>
  <si>
    <t>In ecology, a **niche** refers to the role or function of a species within its ecosystem, encompassing how it meets its needs for food, shelter, reproduction, and survival, as well as its interactions with other organisms and the environment. It’s not just where a species lives (its habitat) but *how* it lives—its unique way of utilizing resources and contributing to the ecosystem.
### Key Components of a Niche
1. **Resource Use**:
   - What a species eats or uses for energy (e.g., a hawk preying on small mammals, a plant using sunlight for photosynthesis).
   - The specific resources it relies on, like water, nutrients, or nesting sites.
2. **Interactions**:
   - How it interacts with other species, such as through predation, competition, mutualism (e.g., bees pollinating flowers), or parasitism.
   - Its role in the food web, like being a primary producer, consumer, or decomposer.
3. **Time and Space**:
   - When it is active (e.g., nocturnal vs. diurnal species).
   - Where it finds resources or reproduces (e.g., specific soil types for plants or tree cavities for birds).
4. **Impact on the Ecosystem**:
   - How it shapes its environment, like beavers building dams that create wetlands or earthworms aerating soil.
### Types of Niches
- **Fundamental Niche**: The full range of environmental conditions and resources a species could theoretically use without competition or other limiting factors.
- **Realized Niche**: The actual role a species plays in its ecosystem, limited by competition, predation, or other biotic interactions. For example, a species might use only a subset of its fundamental niche due to competition with another species.
### Example
Consider two bird species in a forest:
- A **woodpecker**’s niche might involve drilling into tree bark to eat insects, nesting in tree cavities, and being active during the day.
- A **nighthawk**’s niche could involve catching insects in flight at dusk, roosting on branches, and migrating seasonally.
These distinct niches allow both species to coexist by reducing competition for resources.
### Importance of Niches
- **Biodiversity**: Niches allow multiple species to share an ecosystem by partitioning resources, reducing competition.
- **Ecosystem Stability**: Diverse niches contribute to ecosystem resilience, as species with different roles (e.g., pollinators, predators, decomposers) maintain balance.
- **Conservation**: Understanding niches helps ecologists protect species by preserving the specific conditions they need (e.g., keystone species like wolves shaping prey populations).
### Niche Overlap and Competition
When two species have similar niches (niche overlap), they may compete for resources. This can lead to:
- **Competitive Exclusion**: One species outcompetes the other, driving it out of the ecosystem or to extinction locally.
- **Niche Partitioning**: Species evolve to use slightly different resources or times, like birds feeding at different tree heights to coexist.
### Fun Fact
The concept of a niche was formalized by ecologists like G. Evelyn Hutchinson in the 1950s, who described it as an "n-dimensional hypervolume" defined by all the environmental factors a species interacts with. It’s a complex idea boiled down to how a species fits into nature’s puzzle!
If you want a specific example (e.g., a niche in a particular ecosystem like a coral reef) or a deeper dive into niche-related concepts, let me know!</t>
  </si>
  <si>
    <t>An **ecological niche** is the specific role or "profession" of a species within its ecosystem. It's more than just where an organism lives; it encompasses all the biotic (living) and abiotic (non-living) factors it needs to survive and reproduce.
Think of it as a species' complete way of life. This includes:
* **Its habitat:** The physical space it occupies (e.g., a desert, a forest, a specific part of a tree).
* **Its feeding habits:** What it eats, how it gets its food, and its position in the food web.
* **Its interactions with other species:** This includes its relationship with competitors, predators, and prey. For example, a lion's niche includes its role as a top predator that hunts zebras and wildebeest.
* **The resources it uses:** This can be anything from light and water to specific nesting materials.
A useful analogy is to think of a habitat as a species' "address," while its niche is its "profession." Multiple species can live at the same address (habitat), but they can't have the exact same job (niche) forever. This is because of the **competitive exclusion principle**, which states that two species competing for the same limited resources cannot coexist indefinitely.  One species will eventually outcompete the other, forcing it to either adapt to a different niche or face extinction.
You can learn more about the distinction between a habitat and a niche by watching this video. [Habitat vs. Niche - What's the Difference?](https://www.youtube.com/watch?v=SsE-roq9WLw)
http://googleusercontent.com/youtube_content/1</t>
  </si>
  <si>
    <t xml:space="preserve">In ecology, a **niche** is basically a species’ **role or “job” in its environment** — how it fits into the ecosystem.
It includes:
* **Habitat** → where it lives (forest canopy, desert floor, pond water, etc.)
* **Resources it uses** → food, water, nesting sites
* **Interactions** → how it competes, avoids predators, helps or harms other organisms
* **Conditions it tolerates** → temperature, humidity, pH, light, etc.
---
### Two main types of niche:
* **Fundamental niche** → the full range of conditions/resources a species *could* use if there were no competitors or predators.
* **Realized niche** → the narrower set of conditions/resources a species *actually* uses, due to competition, predation, or other limits.
---
✅ Example:
A hummingbird’s niche includes:
* Feeding on nectar (and pollinating flowers as a result)
* Nesting in small trees/shrubs
* Being active during the day
* Competing with bees and other birds for flowers
So, the **niche = its lifestyle and ecological role**, not just its physical “address” in nature.
---
Do you want me to also explain how a **niche is different from a habitat**?
</t>
  </si>
  <si>
    <t>A niche in ecology refers to the role and position a species has within its environment, encompassing everything that affects its survival, growth, and reproduction.[2][5][6]
### Key Aspects of an Ecological Niche- It includes the specific habitat a species occupies, the resources it uses (such as food and shelter), its activity patterns (such as when it is active), and its interactions with other organisms (like predators, prey, or competitors).[2][3][5]
- The niche not only describes how a species responds to its environment (requirements for survival) but also how it affects the environment and other species living there. For example, beavers shape aquatic habitats by building dams, while certain plants may alter soil nutrients.[5][2]
- Two species cannot occupy exactly the same niche in the same habitat for a long time—if their needs are identical, competition will result, and generally, one species will outcompete the other or force it to adapt or leave (the competitive exclusion principle).[2][5]
### Types of Niches- **Fundamental niche:** The full range of environmental conditions (biotic and abiotic) in which a species can survive and reproduce.[3]
- **Realized niche:** The actual conditions in which a species exists, often limited by interactions such as competition, predation, and availability of resources.[3]
A niche is essentially the ecological “job” of a species, defining how it fits into and influences the ecosystem it inhabits.
[1](https://www.reddit.com/r/askscience/comments/dowbn7/what_is_an_ecological_niche/)
[2](https://old-ib.bioninja.com.au/options/option-c-ecology-and-conser/c1-species-and-communities/ecological-niche.html)
[3](https://bio.libretexts.org/Courses/University_of_California_Davis/BIS_2B:_Introduction_to_Biology_-_Ecology_and_Evolution/05:_Functional_Diversity-_Stress_and_Enemies/5.01:_The_Ecological_Niche)
[4](https://www.youtube.com/watch?v=xIVixvcR4Jc)
[5](https://en.wikipedia.org/wiki/Ecological_niche)
[6](https://www.sciencedirect.com/topics/earth-and-planetary-sciences/ecological-niche)
[7](http://www.zo.utexas.edu/courses/bio373/chapters/Chapter13/Chapter13.html)
[8](https://pmc.ncbi.nlm.nih.gov/articles/PMC1679873/)
[9](https://besjournals.onlinelibrary.wiley.com/doi/full/10.1002/pan3.70032)</t>
  </si>
  <si>
    <t>In ecology, a **niche** refers to the role and position a species occupies in its environment - essentially how it makes a living and interacts with both the physical environment and other organisms.
**Two Key Concepts:**
**Habitat vs. Niche**
- **Habitat** = where an organism lives (its "address")
- **Niche** = what an organism does and how it lives (its "profession")
**Components of a Niche:**
- **Food sources** - what the organism eats and how it obtains food
- **Physical requirements** - temperature, humidity, pH levels it can tolerate
- **Behavior patterns** - when it's active, how it reproduces, social structures
- **Interactions** - relationships with predators, prey, competitors, and symbionts
- **Resource use** - which parts of the habitat it uses and when
**Types of Niches:**
**Fundamental niche** - the full range of conditions and resources an organism could potentially use if there were no competition or other limiting factors
**Realized niche** - the actual conditions and resources an organism uses in the presence of competition and other ecological pressures (usually smaller than the fundamental niche)
**Examples:**
- A woodpecker's niche includes eating insects from tree bark, nesting in tree cavities, and helping control insect populations
- A beaver's niche involves building dams, eating woody plants, and creating wetland habitats that other species depend on
**Competitive Exclusion Principle:**
Two species cannot occupy exactly the same niche in the same place at the same time - one will outcompete the other or they will evolve to use different resources (niche partitioning).
Understanding niches helps ecologists predict how species will respond to environmental changes and how ecosystems function.</t>
  </si>
  <si>
    <t xml:space="preserve">Why do people take peppercorns with Turmeric? </t>
  </si>
  <si>
    <t>People take peppercorns (specifically black peppercorns) with turmeric primarily to enhance the body's absorption and bioavailability of curcumin, the active compound in turmeric responsible for many of its health benefits. Curcumin has potent anti-inflammatory, antioxidant, and potential anti-cancer properties, but on its own, it's poorly absorbed into the bloodstream—much of it gets quickly metabolized and excreted by the liver. Black pepper contains piperine, an alkaloid that acts as a natural bioenhancer: It inhibits enzymes in the gut and liver that break down curcumin, allowing more of it to enter the circulation and stay active longer.
### Key Science Behind It
- **Boost in Absorption**: Studies show that adding just a small amount of black pepper (about 1/20 teaspoon or 5–10 mg of piperine) can increase curcumin's bioavailability by up to 2,000%. For example, without piperine, only about 1–2% of curcumin might be absorbed; with it, that jumps dramatically.
- **How It Works**: Piperine slows down the liver's glucuronidation process (which makes compounds water-soluble for excretion) and improves gut permeability, essentially "unlocking" curcumin's potential.
- **Health Benefits Amplified**: This combo is linked to better outcomes for reducing inflammation (e.g., in arthritis), supporting digestion, aiding blood sugar control, and even enhancing mood or brain health. It's a staple in traditional Ayurvedic medicine and modern wellness routines.
### How to Take Them Together
- **In Food**: Sprinkle turmeric (1/4–1/2 tsp) and a pinch of freshly ground black pepper on meals like curries, eggs, rice, or smoothies. Heat activates curcumin, so cooking helps too.
- **In Drinks**: Add to golden milk (warm milk with turmeric, pepper, ginger, and honey) or tea.
- **Supplements**: Look for curcumin-piperine combos (e.g., 500–1,000 mg curcumin with 5–20 mg piperine daily), but consult a doctor first, especially if pregnant, on blood thinners, or prone to kidney stones—high doses can interact with meds or cause side effects.
While whole-food sources are ideal for safety and synergy with other nutrients, the pepper-turmeric duo is a simple, evidence-backed hack for maximizing turmeric's perks. If you're dealing with a specific health goal, a healthcare pro can tailor advice!</t>
  </si>
  <si>
    <t>People take peppercorns with turmeric for a simple but very important reason: to dramatically increase the body's ability to absorb and use **curcumin**, the primary active compound in turmeric.
Here's the breakdown of why this combination is so effective:
* **Curcumin's Low Bioavailability:** Curcumin, the substance responsible for turmeric's anti-inflammatory and antioxidant properties, is not easily absorbed by the human body on its own. It is quickly metabolized and excreted, meaning a significant portion of it is lost before it can be utilized.
* **The Role of Piperine:** Black peppercorns contain an alkaloid called **piperine**. Research has shown that when consumed together with curcumin, piperine can enhance its bioavailability by up to 2,000%. It does this by inhibiting a metabolic process in the liver and intestines that would normally break down the curcumin and make it less available for the body. This essentially "pauses" the body's natural defense mechanism against foreign substances, allowing more curcumin to enter the bloodstream and be used by the cells.
This synergistic effect is why many turmeric supplements on the market include piperine (often listed as black pepper extract) as an ingredient. In cooking, adding a pinch of black pepper to a turmeric-rich dish like a curry or a "golden milk" latte is a common and effective way to get more of the potential health benefits from the spice.</t>
  </si>
  <si>
    <t xml:space="preserve">Great question! People often take **peppercorns (especially black pepper)** with **turmeric** because of how their chemistry interacts in the body.
---
### The key compounds:
* **Turmeric’s main active compound:** **Curcumin**
  * Known for anti-inflammatory and antioxidant effects
  * But curcumin is poorly absorbed into the bloodstream on its own
* **Black pepper’s active compound:** **Piperine**
  * This slows down the breakdown of curcumin in the liver and gut
  * Increases the **bioavailability** (the amount your body can actually use)
---
### The effect:
* Studies show that adding piperine can boost curcumin absorption by **up to 2000%**.
* That’s why many supplements (and traditional remedies) pair turmeric with black pepper.
---
### Traditional + Modern Perspective:
* **Ayurvedic medicine** (India’s traditional system) has combined spices like turmeric and black pepper for centuries.
* Modern science has confirmed that this pairing makes curcumin much more effective.
---
👉 So in short: **peppercorns act as a natural enhancer, making turmeric’s benefits stronger and longer-lasting in the body.**
Would you like me to also explain **how people usually take them together** (like in golden milk, capsules, or cooking)?
</t>
  </si>
  <si>
    <t>Warm/Personable</t>
  </si>
  <si>
    <t>People take peppercorns (black pepper) with turmeric primarily because black pepper contains a compound called piperine, which significantly enhances the absorption of curcumin, the active compound in turmeric. Curcumin has many health benefits, including anti-inflammatory, antioxidant, and disease-fighting properties, but it is poorly absorbed by the body on its own. Piperine can increase curcumin absorption by up to 2,000%, making the combined effect much stronger.[1][2][3]
### Benefits of Combining Peppercorns and Turmeric
- **Enhanced absorption:** Piperine boosts curcumin’s bioavailability, allowing the body to better harness turmeric’s benefits.[2][1]
- **Anti-inflammatory and pain relief:** Both curcumin and piperine have anti-inflammatory properties, making the combination beneficial for reducing pain and inflammation, such as in arthritis.[1]
- **Antioxidant effects:** Together, they improve the body's ability to neutralize harmful free radicals.[2][1]
- **Digestive health:** Black pepper stimulates digestive enzymes that help in better digestion and nutrient absorption.[2]
- **Potential cancer prevention:** Research suggests that both compounds can help inhibit cancer cell growth and promote cancer cell death in various types.[3][1]
Thus, taking peppercorns with turmeric is a common natural health practice to maximize turmeric’s potency and overall health benefits.[1][2]
[1](https://www.healthline.com/nutrition/turmeric-and-black-pepper)
[2](https://rawspicebar.com/blogs/spices-101/turmeric-and-black-pepper-health-benefits)
[3](https://www.coxtechnic.com/doctors/pepper-and-turmeric-and-curcumin)
[4](https://www.verywellhealth.com/turmeric-and-black-pepper-11716105)
[5](https://pmc.ncbi.nlm.nih.gov/articles/PMC11016436/)
[6](https://www.health.com/turmeric-and-black-pepper-11693430)
[7](https://ayoubs.ca/blogs/news/why-turmeric-and-black-pepper-are-a-powerful-combo)
[8](https://www.mdvip.com/about-mdvip/blog/turmeric-and-black-pepper-supplements-may-damage-liver)
[9](https://connect.mayoclinic.org/discussion/turmeric-with-black-pepper/)</t>
  </si>
  <si>
    <t>People often take black peppercorns with turmeric because **piperine** (the compound that makes pepper spicy) dramatically increases the absorption of **curcumin**, turmeric's main active compound.
**The Absorption Problem:**
Curcumin by itself is poorly absorbed by the digestive system and is quickly metabolized by the liver. Most of it gets broken down before it can reach your bloodstream in meaningful amounts.
**How Piperine Helps:**
- **Increases bioavailability** - Studies show piperine can increase curcumin absorption by up to 2,000%
- **Slows metabolism** - It inhibits certain enzymes in the liver that normally break down curcumin quickly
- **Enhances transport** - It may help curcumin cross intestinal barriers more effectively
**Typical Usage:**
- Many turmeric supplements include piperine or black pepper extract
- In cooking, this combination occurs naturally in curry blends
- The ratio is usually small - just a pinch of black pepper to a teaspoon of turmeric
**Other Absorption Enhancers:**
- **Fat** - Curcumin is fat-soluble, so taking it with oils, milk, or fatty foods also helps
- **Heat** - Cooking turmeric can increase its bioavailability
**Traditional Knowledge:**
This combination isn't new - traditional Indian and Ayurvedic medicine have long used turmeric and black pepper together in various preparations, suggesting this synergy was understood empirically long before modern research confirmed the mechanism.
The key takeaway is that without something to enhance absorption, most of the curcumin you consume will simply pass through your system unused.</t>
  </si>
  <si>
    <t>How old in the Sun?</t>
  </si>
  <si>
    <t>The Sun is approximately **4.6 billion years old**, or about 4.6 billion years (4,600,000,000 years). This age is determined through several scientific methods:
- **Radiometric Dating of Meteorites**: The oldest material in our solar system, found in certain meteorites, dates back to around 4.567 billion years ago, based on the decay of radioactive isotopes like uranium-238 to lead-206. Since the Sun formed around the same time as the solar system, this provides a reliable estimate.
- **Stellar Evolution Models**: Astronomers use models of how stars like the Sun evolve over time. By analyzing the Sun’s current mass, composition (about 73.5% hydrogen, 24% helium by mass), and energy output (luminosity), they confirm it’s in the main sequence phase, consistent with an age of roughly 4.6 billion years.
- **Helioseismology**: Studying vibrations in the Sun’s interior (like seismic waves on Earth) helps map its structure, supporting the age estimate by showing it’s still burning hydrogen steadily, typical for a middle-aged star.
The Sun formed from a collapsing cloud of gas and dust (a molecular cloud) and is expected to live for about 10–12 billion years total before evolving into a red giant and eventually a white dwarf. So, it’s roughly halfway through its life cycle. If you want details on how we measure stellar ages or what the Sun’s future holds, let me know!</t>
  </si>
  <si>
    <t>The Sun is about **4.6 billion years old**.
Scientists have determined this age by using radioactive dating on the oldest meteorites and lunar samples that have been collected. They believe the Sun and the rest of the solar system formed from the same spinning cloud of gas and dust (the solar nebula) at roughly the same time. Therefore, dating these ancient objects provides a highly accurate estimate for the age of our star.
***
### The Sun's Lifespan and Future
The Sun is currently in its "main sequence" phase, a stable period where it fuses hydrogen into helium in its core. It's roughly halfway through its life.
In approximately 5 billion years, the Sun will run out of hydrogen fuel. It will then begin to swell into a **red giant**, expanding so much that it will likely engulf Mercury, Venus, and possibly Earth.  After this phase, it will shed its outer layers, leaving behind a dense, hot core called a **white dwarf**, which will slowly cool and fade over trillions of years.</t>
  </si>
  <si>
    <t xml:space="preserve">The Sun is about **4.6 billion years old**. 🌞
### How we know:
* Scientists estimate this age by studying the **oldest meteorites** in the solar system (which formed around the same time as the Sun).
* Models of **stellar evolution** also show that a star of the Sun’s mass, brightness, and composition fits with being \~4.6 billion years into its life.
### Life cycle context:
* The Sun is a **main-sequence star** (burning hydrogen into helium in its core).
* It’s roughly **halfway through** this stable phase.
* It has about **5 billion years left** before it expands into a red giant and eventually shrinks into a white dwarf.
Would you like me to also explain what the **future of the Sun** looks like step by step?
</t>
  </si>
  <si>
    <t>The Sun is approximately 4.6 billion years old. This age estimate comes from dating the oldest meteorites and moon rocks, as well as the oldest Earth rocks, which all formed around the same time as the Sun and the rest of the solar system.[1][2][3]
### How We Know the Sun's Age- Scientists use radioactive dating techniques on meteorites and moon rocks to determine their age, which reflects the age of the solar system, including the Sun.[1][6]
- The Sun formed from the gravitational collapse of a giant molecular cloud about 4.6 billion years ago, starting nuclear fusion in its core shortly thereafter.[8]
- The oldest Earth rocks and fossils provide a lower bound, showing life existed when the Sun was already shining in a stable phase known as the main sequence.[3][1]
### Life Cycle Context- The Sun is currently about halfway through its estimated 9-10 billion year main sequence lifespan during which it burns hydrogen into helium.[2][3]
- In about 5 billion years, the Sun will expand into a red giant before eventually collapsing into a white dwarf.[8][2]
This comprehensive scientific approach gives us confidence that the Sun is roughly 4.6 billion years old, making it middle-aged in its life cycle as a star.The Sun is approximately 4.6 billion years old. Scientists estimate this age by dating the oldest meteorites, moon rocks, and Earth rocks, which all formed around the same time as the Sun and the rest of the solar system. The Sun formed from the gravitational collapse of a giant molecular cloud about 4.6 billion years ago and has been burning hydrogen in its core since then.
[1](https://solar-center.stanford.edu/FAQ/Qage.html)
[2](https://spaceplace.nasa.gov/sun-age/)
[3](https://study.com/learn/lesson/sun-age-life-overview-examples.html)
[4](https://www.aarp.org/events-history/sun-middle-age/)
[5](https://www.skyatnightmagazine.com/space-science/how-old-is-sun)
[6](https://www.discovery.com/science/how-old-is-the-sun-)
[7](https://www.reddit.com/r/explainlikeimfive/comments/15fvvqn/eli5_how_did_we_determine_that_the_sun_is_46/)
[8](https://en.wikipedia.org/wiki/Sun)
[9](https://www.space.com/58-the-sun-formation-facts-and-characteristics.html)</t>
  </si>
  <si>
    <t>The Sun is approximately **4.6 billion years old**.
**How We Know This:**
Scientists determined the Sun's age by studying:
- **Meteorites** - These are leftover materials from when our solar system formed, and radiometric dating shows they're about 4.567 billion years old
- **The oldest rocks on Earth** - Around 4.4 billion years old
- **Moon rocks** - Also dating to about 4.5 billion years ago
- **Computer models** of stellar evolution that match the Sun's current properties
**Formation Timeline:**
The Sun formed from a collapsing cloud of gas and dust called a solar nebula. This process took roughly 50 million years, so the Sun began nuclear fusion (became a true "star") about 4.6 billion years ago.
**Life Stages:**
- **Current stage**: Main sequence star (fusing hydrogen into helium)
- **Remaining main sequence life**: About 5 billion more years
- **Future**: In roughly 5 billion years, it will expand into a red giant, then eventually become a white dwarf
**Perspective:**
- The Sun is middle-aged for a star of its type
- It has already lived about half its total lifespan
- Earth formed shortly after the Sun, around 4.54 billion years ago
- Life on Earth emerged roughly 3.5-4 billion years ago
So the Sun has been shining for over 4.5 billion years and has plenty of fuel left to keep going for billions more!</t>
  </si>
  <si>
    <t>What are the effects of caffeine on the human body?</t>
  </si>
  <si>
    <t>Caffeine is a natural stimulant found in coffee, tea, chocolate, energy drinks, and some medications. It affects the human body by interacting with the central nervous system, heart, muscles, and other systems. Below is a concise overview of its effects, based on scientific understanding:
### Positive Effects
1. **Increased Alertness and Focus**:
   - Caffeine blocks adenosine, a neurotransmitter that promotes sleepiness, by binding to its receptors in the brain. This increases wakefulness and improves focus, reaction time, and cognitive performance.
   - Effect peaks within 30–60 minutes after consumption and lasts 3–5 hours, depending on the dose and individual metabolism.
2. **Enhanced Physical Performance**:
   - Stimulates adrenaline release, boosting heart rate and mobilizing fat stores for energy, which can improve endurance and strength during exercise.
   - Reduces perceived effort, making physical tasks feel easier (e.g., athletes use 3–6 mg/kg body weight for performance gains).
3. **Mood and Energy Boost**:
   - Increases dopamine and norepinephrine activity, enhancing mood and reducing fatigue temporarily.
   - May have mild antidepressant effects for some users.
4. **Metabolic Boost**:
   - Increases basal metabolic rate by 5–11% for a few hours, aiding fat burning (though effects diminish with regular use).
   - Enhances thermogenesis (heat production) in the body.
5. **Potential Health Benefits**:
   - Associated with reduced risk of certain diseases when consumed moderately (e.g., 2–5 cups of coffee daily):
     - Lower risk of Parkinson’s disease and Alzheimer’s due to neuroprotective effects.
     - Reduced risk of type 2 diabetes (improves insulin sensitivity in some studies).
     - Possible protective effects against certain cancers (e.g., liver, colorectal).
### Negative Effects
1. **Sleep Disruption**:
   - Blocks adenosine, delaying sleep onset and reducing sleep quality, especially if consumed late in the day (within 6–8 hours of bedtime).
   - Can exacerbate insomnia in sensitive individuals.
2. **Increased Heart Rate and Blood Pressure**:
   - Stimulates the heart, causing temporary increases in heart rate and blood pressure (typically mild but risky for those with hypertension or heart conditions).
   - High doses (above 400 mg) may cause palpitations or irregular heart rhythms in rare cases.
3. **Anxiety and Jitters**:
   - Overstimulates the nervous system, leading to restlessness, nervousness, or shakiness, especially in high doses or sensitive individuals.
   - Can worsen anxiety disorders or trigger panic attacks.
4. **Digestive Issues**:
   - Increases stomach acid production, potentially causing heartburn or stomach upset.
   - Acts as a diuretic (promotes urine production), though mild and not dehydrating in moderate amounts.
5. **Dependence and Withdrawal**:
   - Regular use leads to tolerance, requiring higher doses for the same effect.
   - Withdrawal symptoms (headache, fatigue, irritability, low mood) can occur within 12–24 hours of stopping, lasting 1–7 days.
6. **Bone Health (High Doses)**:
   - Excessive intake (over 400–500 mg daily) may reduce calcium absorption, potentially affecting bone density over time, especially in those with low calcium intake.
### Dosage and Individual Variation
- **Safe Dose**: Up to 400 mg/day (about 4 cups of brewed coffee) is considered safe for most healthy adults, per the FDA and EFSA. Pregnant women should limit to 200 mg/day.
- **Sources**: Coffee (95–200 mg/8 oz), tea (20–70 mg/8 oz), energy drinks (80–300 mg/can), soda (20–40 mg/12 oz), dark chocolate (10–50 mg/oz).
- **Sensitivity**: Varies due to genetics (CYP1A2 enzyme metabolism), body weight, tolerance, and health conditions. Some metabolize caffeine slowly, amplifying effects.
### Long-Term Considerations
- **Chronic Use**: Tolerance reduces benefits over time, and high doses (over 500 mg/day) may increase risks of cardiovascular issues or anxiety.
- **Moderation Key**: 200–400 mg daily (2–4 cups coffee) is linked to health benefits with minimal risks for most people.
- **Interactions**: Caffeine can interact with medications (e.g., antidepressants, blood thinners) or amplify effects of other stimulants.
### Fun Fact
Caffeine’s half-life (time to reduce by half in the body) is 4–6 hours but varies widely—smokers metabolize it faster, while pregnancy slows it down. This is why some people feel jittery after one coffee, while others can chug espresso before bed!
If you want specifics (e.g., caffeine’s impact on a particular health condition or how to manage intake), let me know!</t>
  </si>
  <si>
    <t>Caffeine is a central nervous system stimulant that has a wide range of effects on the human body, both positive and negative. It's the most widely consumed psychoactive substance in the world, primarily because of its ability to increase alertness and reduce the feeling of fatigue.
Here's a breakdown of the effects of caffeine on different parts of the body:
### **Central Nervous System (CNS)**
* **Increased Alertness:** Caffeine's main effect is to block the action of a neurotransmitter called adenosine, which normally promotes relaxation and sleepiness. By blocking adenosine receptors, caffeine prevents the brain from slowing down, leading to a feeling of wakefulness and increased mental alertness.
* **Improved Cognitive Function:** In moderate doses, caffeine can improve short-term memory, reaction time, and processing speed.
* **Mood Enhancement:** Caffeine can also increase the levels of other neurotransmitters like dopamine, which can elevate mood.
* **Potential for Jitters and Anxiety:** In higher doses or in individuals who are sensitive to it, caffeine can cause restlessness, nervousness, anxiety, and tremors.
### **Cardiovascular System**
* **Increased Heart Rate and Blood Pressure:** Caffeine stimulates the release of adrenaline, which can cause a temporary increase in heart rate and blood pressure. For most healthy individuals, this effect is short-lived and does not have a long-term impact on blood pressure. However, for people with pre-existing heart conditions or high blood pressure, it's important to be cautious with caffeine intake.
* **Heart Palpitations:** Some people may experience a fast or irregular heartbeat, known as palpitations.
### **Digestive System**
* **Increased Stomach Acid:** Caffeine can stimulate the release of stomach acid, which may cause indigestion, heartburn, or an upset stomach for some people.
* **Diuretic Effect:** Caffeine is a mild diuretic, meaning it can increase urine production, which is why people often feel the need to urinate more frequently after consuming caffeinated beverages.
### **Sleep**
* **Disruption of Sleep:** Because of its role as a CNS stimulant, caffeine can significantly interfere with sleep, especially when consumed in the late afternoon or evening. It can delay the onset of sleep, reduce total sleep time, and decrease the quality of deep sleep. The effects can last for several hours, with a typical half-life of about 3 to 5 hours.
### **Other Effects and Considerations**
* **Dependency and Withdrawal:** Regular caffeine consumption can lead to physical dependence. If a person suddenly stops, they may experience withdrawal symptoms such as headaches, fatigue, irritability, and difficulty concentrating.
* **Nutrient Absorption:** In large amounts, caffeine may interfere with the body's absorption of certain minerals, such as calcium.
* **Therapeutic Uses:** Caffeine is an active ingredient in some over-the-counter pain relievers, as it can enhance the effectiveness of medications like aspirin and acetaminophen for treating headaches and migraines.
The effects of caffeine vary greatly from person to person depending on factors like genetics, body weight, age, and tolerance. For most healthy adults, a daily intake of up to 400 mg (about 4 cups of coffee) is considered safe and is associated with many of the beneficial effects without the negative side effects.</t>
  </si>
  <si>
    <t xml:space="preserve">Caffeine is a **stimulant** — it mainly affects your brain and nervous system, but it influences many parts of the body. Here’s a breakdown:
---
### 1. **On the Brain &amp; Nervous System**
* **Blocks adenosine receptors** → Adenosine is a chemical that makes you feel sleepy. By blocking it, caffeine reduces fatigue.
* **Increases dopamine &amp; norepinephrine** → This boosts alertness, concentration, mood, and reaction time.
* Can reduce the perception of effort, making tasks (like exercise) feel easier.
---
### 2. **On the Heart &amp; Circulatory System**
* Temporary **increase in heart rate and blood pressure** (effects vary with tolerance).
* May improve blood circulation in some tissues.
---
### 3. **On Metabolism &amp; Energy**
* Stimulates release of **adrenaline**, which can increase metabolism.
* Promotes breakdown of fat for energy (why it’s in many workout supplements).
* Doesn’t *create* energy, but can make you feel less tired.
---
### 4. **On Digestion &amp; Kidneys**
* Stimulates the stomach → sometimes causes acid reflux or stomach upset.
* Mild **diuretic effect** (makes you urinate more), though regular users adapt.
---
### 5. **On Performance**
* Can improve **endurance, focus, and reaction speed**.
* Often used by athletes for better workout performance.
---
### 6. **Potential Downsides**
* **Jitters, anxiety, insomnia** if too much is consumed.
* Can cause **dependence** (habit-forming, with withdrawal headaches/fatigue).
* In sensitive people, may trigger heart palpitations or digestive upset.
---
✅ In short: **Caffeine makes you feel more awake, sharp, and energetic by blocking sleep signals in the brain and boosting alert chemicals — but too much can tip into restlessness, poor sleep, and anxiety.**
Would you like me to also give you the **safe daily limit of caffeine for most adults**?
</t>
  </si>
  <si>
    <t>Caffeine affects the human body primarily as a central nervous system stimulant with multiple other physiological effects. Here are the main effects:
### Positive Effects- Increases alertness, reduces fatigue, and improves concentration and cognitive function.[1][2]
- Can enhance memory and processing speed at moderate doses.[1]
- May have protective effects against some neurodegenerative diseases like Parkinson’s and Alzheimer's disease.[2]
- Stimulates the release of certain neurotransmitters such as dopamine and norepinephrine, leading to improved mood and mental performance.[3]
### Negative Effects (especially in high doses)- Can cause restlessness, nervousness, anxiety, insomnia, and headaches.[1][2]
- High doses may trigger tremors, irritability, and heart palpitations.[6][1]
- Can increase stomach acid, potentially causing heartburn or upset stomach.[4][1]
- May raise blood pressure and heart rate temporarily, which could be risky for people with heart problems or hypertension.[5][1][4]
- Acts as a diuretic, increasing urine production and possibly causing dehydration.[1][4]
### Other Physiological Effects- Boosts metabolism and may contribute to weight regulation through increased fat breakdown.[4]
- Affects muscle contraction and performance by increasing calcium release in muscle cells.[4]
- May cause smooth muscle relaxation in airways, potentially benefiting asthma symptoms.[3]
### Caffeine Withdrawal- Abrupt cessation after regular use can lead to headaches, irritability, fatigue, and tremors.[1]
In summary, caffeine provides mental and physical stimulation but can lead to side effects if consumed excessively. Its effects vary depending on dose, individual sensitivity, and overall health.
[1](https://www.healthline.com/health/caffeine-effects-on-body)
[2](https://pmc.ncbi.nlm.nih.gov/articles/PMC8467199/)
[3](https://www.ncbi.nlm.nih.gov/books/NBK223808/)
[4](https://www.sciencedirect.com/science/article/pii/S2772417424000104)
[5](https://www.ama-assn.org/public-health/prevention-wellness/what-doctors-wish-patients-knew-about-impact-caffeine)
[6](https://www.betterhealth.vic.gov.au/health/healthyliving/caffeine)
[7](https://www.youtube.com/watch?v=9eL16Exry48)
[8](https://www.fda.gov/consumers/consumer-updates/spilling-beans-how-much-caffeine-too-much)
[9](https://www.webmd.com/diet/how-caffeine-affects-your-body)
[10](https://medlineplus.gov/caffeine.html)</t>
  </si>
  <si>
    <t>Caffeine has widespread effects throughout the human body, acting primarily as a central nervous system stimulant. Here's how it affects different systems:
**Brain and Nervous System:**
- **Increased alertness** - Blocks adenosine receptors, preventing the "tired" signal
- **Enhanced focus and concentration** - Improves cognitive performance temporarily
- **Mood elevation** - Can reduce feelings of fatigue and mild depression
- **Faster reaction times** - Speeds up neural processing
- **Potential jitters or anxiety** - Especially at higher doses
**Cardiovascular System:**
- **Increased heart rate** - Stimulates cardiac muscle
- **Elevated blood pressure** - Temporarily raises both systolic and diastolic pressure
- **Improved circulation** - Dilates some blood vessels while constricting others
**Physical Performance:**
- **Enhanced endurance** - Mobilizes fatty acids for energy
- **Reduced perceived exertion** - Makes physical activity feel easier
- **Improved muscle contraction** - Enhances calcium release in muscle fibers
**Metabolic Effects:**
- **Increased metabolism** - Raises your metabolic rate by 3-11%
- **Fat burning** - Stimulates lipolysis (breakdown of fat stores)
- **Blood sugar impact** - Can temporarily reduce insulin sensitivity
**Digestive System:**
- **Gastric acid production** - Increases stomach acid
- **Bowel stimulation** - Acts as a mild laxative for many people
- **Diuretic effect** - Increases urine production (though regular users develop tolerance)
**Sleep and Circadian Rhythms:**
- **Delayed sleep onset** - Can interfere with falling asleep
- **Reduced sleep quality** - May decrease deep sleep phases
- **Disrupted circadian clock** - Especially if consumed late in the day
**Timeline:**
- **Peak effects**: 30-60 minutes after consumption
- **Half-life**: 3-6 hours (varies by individual)
- **Complete elimination**: 8-14 hours
**Individual Variations:**
People metabolize caffeine differently due to genetics, age, pregnancy, medications, and tolerance levels. Some people are "fast metabolizers" while others are "slow metabolizers."
**Withdrawal Effects:**
Regular users may experience headaches, fatigue, irritability, and difficulty concentrating when stopping suddenly.
The key is that caffeine's effects are temporary and dose-dependent - moderate consumption (200-400mg daily) is generally considered safe for most adults.</t>
  </si>
  <si>
    <t>What is an EMP?</t>
  </si>
  <si>
    <t>### What is an EMP?
An **Electromagnetic Pulse (EMP)**, also known as a transient electromagnetic disturbance (TED), is a short burst of electromagnetic energy that can disrupt or damage electronic devices and electrical systems. It manifests as rapidly changing electromagnetic fields—electric, magnetic, or both—that induce high voltages and currents in conductors like wires, antennas, or power lines. Unlike steady electromagnetic waves (e.g., radio signals), an EMP is a one-time, high-intensity surge, often broadband (spanning multiple frequencies) with a sharp rise and slower decay. It doesn't typically harm humans directly but can cause widespread technological chaos.
#### How an EMP Works
- **Mechanism**: The pulse creates induced currents in conductive materials, overwhelming and frying unprotected electronics. For example, it can overload circuits in computers, power grids, or vehicles, similar to a massive static shock but on a massive scale.
- **Waveform**: EMPs have a fast leading edge (nanoseconds to microseconds), peaking quickly before tapering off. They can excite damped sine waves in the environment but are not repetitive like normal signals.
- **Range and Intensity**: Effects depend on the source's power and distance. A strong EMP might reach intensities of up to 50,000 volts per meter, affecting areas from kilometers to continents.
#### Types and Causes of EMPs
EMPs can be natural or man-made, and they're categorized by origin and duration (especially for nuclear ones):
1. **Natural EMPs**:
   - **Lightning Electromagnetic Pulse (LEMP)**: From lightning strikes, causing local surges that can damage buildings or aircraft.
   - **Geomagnetic Disturbance (GMD)**: Triggered by solar flares or coronal mass ejections (CMEs), like the 1859 Carrington Event, which disrupted telegraph systems. These induce slow-varying currents in power lines.
2. **Man-Made EMPs**:
   - **Nuclear Electromagnetic Pulse (NEMP or HEMP)**: From a high-altitude nuclear detonation (above 30 km). Gamma rays interact with the atmosphere, producing Compton electrons that generate the pulse. Divided into phases:
     - **E1**: Fast (nanoseconds), high-frequency burst that hits small electronics like computers and phones.
     - **E2**: Intermediate, similar to lightning (microseconds).
     - **E3**: Slow (seconds), mimics solar storms, affecting large power grids.
   - **Non-Nuclear EMP (NNEMP)**: Generated by devices like explosively pumped flux compression generators, high-power microwaves, or "E-bombs." These are smaller-scale weapons for targeted disruption, e.g., disabling enemy communications without nuclear fallout.
#### Effects on the Human Body and Society
- **On Humans**: Generally harmless—no ionizing radiation or heat directly affects biology. However, indirect risks include medical device failures (e.g., pacemakers) or chaos from infrastructure collapse.
- **On Technology**: 
  - Disrupts power grids, communications, vehicles (especially modern ones with electronic ignition), and critical infrastructure like hospitals or transportation.
  - Vulnerable items: Computers, satellites, telecom, and embedded systems in cars or planes. Older, vacuum-tube tech is more resilient.
  - Historical example: The 1962 Starfish Prime nuclear test caused blackouts in Hawaii 1,400 km away.
- **Broader Impacts**: In warfare, EMPs are strategic weapons to cripple economies or militaries without casualties. A large-scale event could cause blackouts lasting weeks to years, leading to societal breakdown.
#### Protection and Mitigation
- **Shielding**: Faraday cages (metal enclosures) block EMPs by redirecting energy around enclosed devices.
- **Hardening**: Surge protectors, optical fiber (non-conductive), or military-grade designs for critical infrastructure.
- **Research**: Agencies like DHS study EMP resilience, recommending backups and diversified systems.
EMPs highlight our tech-dependent world's vulnerabilities—think of it as nature's (or a foe's) ultimate "off switch" for electronics. If you're asking about a specific type (e.g., nuclear vs. solar) or protection tips, let me know!</t>
  </si>
  <si>
    <t>An **electromagnetic pulse (EMP)** is a very brief but powerful burst of electromagnetic energy. This burst can cause a surge of electrical current in conductors, which can disrupt or permanently damage electronic equipment, electrical systems, and telecommunication networks over a wide area.
---
### **Causes of an EMP**
An EMP can originate from both natural and artificial sources, each with different characteristics and potential effects.
* **Nuclear EMP (NEMP):** This is the most widely known type. When a nuclear weapon is detonated at a high altitude (a High-Altitude Electromagnetic Pulse, or HEMP), it releases a powerful burst of gamma rays. These gamma rays interact with the Earth's atmosphere to create a massive and fast-spreading electromagnetic field that can affect an entire continent. This is considered the most serious threat to modern infrastructure due to its widespread potential for damage. 
* **Non-Nuclear EMP (NNEMP):** These are weapons that use conventional explosives or specialized generators to produce a powerful EMP without a nuclear detonation. These devices are generally more localized and have a shorter range than a nuclear EMP, but they are still capable of disabling electronic systems in a targeted area.
* **Natural EMP:** The Sun can also cause an EMP. A **coronal mass ejection (CME)**, a large expulsion of plasma and magnetic field from the Sun's corona, can cause a geomagnetic storm that induces powerful currents in long conductors like power lines. While the effects are different from a nuclear EMP, a strong geomagnetic storm can still cause widespread power grid failures and satellite disruptions.
---
### **Effects on Electronics**
The effect of an EMP is to induce a sudden and intense voltage spike that overloads sensitive electronic components. This can result in either temporary disruption (e.g., a device freezing or restarting) or permanent damage (e.g., frying a circuit board).
Modern electronics are particularly vulnerable because they rely on delicate microprocessors and solid-state components that are easily destroyed by such surges. Systems with long conductors, such as power grids, communication lines, and railway networks, are highly susceptible because they act like massive antennas that collect and amplify the EMP's energy.
It's important to note that an EMP is not a physical blast and is not directly harmful to biological organisms like humans. The primary danger lies in the collapse of critical infrastructure, which could lead to widespread disruption of power, communication, transportation, and emergency services.</t>
  </si>
  <si>
    <t xml:space="preserve">An **EMP** stands for **Electromagnetic Pulse** — a short, intense burst of electromagnetic energy.
---
### Key Features:
* It happens **very suddenly** (microseconds to milliseconds).
* The energy spreads through the atmosphere or along electrical conductors.
* It can **disrupt or damage electronics** by overloading circuits.
---
### Types of EMP:
1. **Natural EMPs**
   * **Lightning**: Each strike generates a local EMP.
   * **Solar storms (geomagnetic disturbances)**: Charged particles from the Sun can induce currents in power grids.
2. **Man-made EMPs**
   * **Nuclear EMP (NEMP)**: A nuclear explosion high in the atmosphere can produce a wide-area EMP capable of disabling electronics across entire regions.
   * **Non-nuclear EMP devices (NNEMP)**: Specialized weapons or equipment designed to generate pulses that can disable electronics on a smaller scale.
---
### Effects:
* **Electronics**: Can fry microchips, disable radios, phones, and computers.
* **Power systems**: Can knock out transformers and grids.
* **Humans**: Don’t directly harm people (we’re not electronic), but the loss of tech can have big indirect effects.
---
✅ In short: An EMP is like a **massive, invisible power surge** that can disrupt or destroy electronics, whether from nature (lightning/solar storms) or human technology (weapons).
Would you like me to also explain **how electronics can be shielded** from EMPs (like Faraday cages)?
</t>
  </si>
  <si>
    <t>An EMP, or electromagnetic pulse, is a short burst of electromagnetic energy that can disrupt or damage electrical and electronic equipment. It can occur naturally, such as from lightning strikes or solar storms, or be created artificially, for example, by nuclear explosions or specialized electromagnetic weapons.[1][3]
### Characteristics of an EMP- It involves a surge of electric and magnetic fields that can induce strong currents and voltages in electrical circuits.[1]
- EMP energy can be transferred as electromagnetic radiation, electric fields, magnetic fields, or electrical conduction.[1]
- Its effects can spread over a wide range of frequencies and cover large geographical areas, especially in high-altitude nuclear detonations.[3][1]
### Effects and Risks- EMPs can temporarily or permanently disable electronic devices such as computers, communication systems, power grids, and vehicles with electronic ignition systems.[1][5]
- The disruption occurs because sensitive semiconductor components can be damaged by the induced electric currents and heat.[5]
- There is no direct physical harm to humans from EMP itself, but the secondary effects, such as loss of electricity and communications, can cause widespread disruption.[5]
### Types of EMP- Natural EMPs include lightning electromagnetic pulses and solar geomagnetic storms.
- Man-made EMPs include nuclear electromagnetic pulses (NEMP), which result from nuclear explosions, and non-nuclear electromagnetic pulse (NNEMP) weapons used in modern warfare.[1][3]
In summary, an EMP is a powerful burst of electromagnetic energy that can severely impact electronic systems and infrastructure, posing significant challenges for modern technology-dependent societies.
[1](https://en.wikipedia.org/wiki/Electromagnetic_pulse)
[2](https://www.merriam-webster.com/dictionary/electromagnetic%20pulse)
[3](https://keystonecompliance.com/emp/)
[4](https://www.atomicarchive.com/science/effects/emp.html)
[5](https://doh.wa.gov/sites/default/files/legacy/Documents/Pubs/320-090_elecpuls_fs.pdf)
[6](https://www.dictionary.com/browse/emp)
[7](https://www.dhs.gov/science-and-technology/electromagnetic-pulse-empgeomagnetic-disturbance)
[8](https://www.aacounty.org/emergency-management/disaster-preparedness/hazards/electromagnetic-pulse-emp)</t>
  </si>
  <si>
    <t>An **EMP (Electromagnetic Pulse)** is a burst of electromagnetic energy that can disrupt or damage electronic devices and electrical systems.
**How EMPs Work:**
EMPs create a sudden surge of electromagnetic radiation that induces electrical currents in conductors like wires, circuits, and metal components. These induced currents can overwhelm and damage sensitive electronic equipment.
**Types of EMPs:**
**Nuclear EMP (NEMP)**
- Created by nuclear explosions, especially high-altitude detonations
- Can affect enormous areas (potentially continental scale)
- Three phases: E1 (immediate, damages electronics), E2 (intermediate), E3 (long-lasting, affects power grids)
**Non-Nuclear EMP**
- **Solar storms/Geomagnetic disturbances** - Natural EMPs from solar activity
- **EMP weapons** - Specialized devices designed to generate electromagnetic pulses
- **Lightning** - Natural EMP on a smaller scale
**What's Affected:**
- **Most vulnerable**: Modern electronics, computer systems, smartphones, cars with electronic systems
- **Power grids** - Transformers and distribution systems
- **Communications** - Cell towers, internet infrastructure, radio systems
- **Transportation** - Modern vehicles, aircraft navigation systems
**What's Less Affected:**
- Simple electrical devices without microprocessors
- Devices that are turned off and unplugged
- Equipment in Faraday cages (metal enclosures that block electromagnetic fields)
- Older, simpler electronics with vacuum tubes
**Protection Methods:**
- **Faraday cages** - Metal enclosures that block electromagnetic fields
- **EMP shielding** - Special materials and design for critical infrastructure
- **Surge protectors** - Limited protection for smaller pulses
- **Hardening** - Designing systems to withstand EMP effects
**Real-World Concerns:**
Governments and militaries take EMP threats seriously for national security, leading to research into both EMP weapons and protection systems for critical infrastructure.
The severity of effects depends on the EMP's strength, duration, and the vulnerability of the specific electronic systems exposed to it.</t>
  </si>
  <si>
    <t>Who was Friedrich Wilhelm von Steuben?</t>
  </si>
  <si>
    <t>Friedrich Wilhelm von Steuben was a Prussian military officer who played a key role in the American Revolutionary War. Born in 1730 in Magdeburg, Prussia, he served in the Prussian army under Frederick the Great before arriving in America in 1777. Recommended by Benjamin Franklin, von Steuben joined the Continental Army at Valley Forge, where he transformed the ragtag American forces into a disciplined fighting unit.
As a major general, he drilled the troops in European military tactics, emphasizing discipline, bayonet training, and efficient battlefield maneuvers. His training manual, known as the "Blue Book" (officially *Regulations for the Order and Discipline of the Troops of the United States*), standardized military practices and became a cornerstone of the U.S. Army’s training for decades. His work was critical to the army’s improved performance in battles like Monmouth and Yorktown.
Despite limited English, von Steuben’s leadership, charisma, and adaptability earned him respect. He also served as an aide to George Washington and helped demobilize the army after the war. A colorful figure, he never married and faced speculation about his personal life, but his contributions to American independence are undeniable. He died in 1794 in New York, leaving a legacy as the "Drillmaster of the Revolution."</t>
  </si>
  <si>
    <t>History/Art</t>
  </si>
  <si>
    <t>Friedrich Wilhelm von Steuben was a Prussian-born army officer who played a crucial role in the American Revolutionary War. He is widely credited with transforming the Continental Army from a disorganized, undisciplined force into a professional and effective fighting machine.
His key contributions include:
* **Training at Valley Forge:** Steuben volunteered to serve in the American colonies, arriving at the winter encampment at Valley Forge in February 1778. He was appointed Inspector General by George Washington and immediately began to train the troops.
* **Creating a Standardized Drill Manual:** He wrote *Regulations for the Order and Discipline of the Troops of the United States*, a training manual that became known as the "Blue Book." It simplified European military tactics and codified the governance and duties of the army. This manual was the official U.S. military guide for decades.
* **Instilling Discipline and Hygiene:** He introduced a system of drills, basic hygiene, and camp layouts that greatly improved the health and fighting readiness of the troops.
* **Mentorship:** He worked closely with the soldiers, personally demonstrating drills and earning their respect, despite his initial difficulty with the English language.
After the war, Steuben was made a U.S. citizen and was granted a large estate in New York for his service, where he lived until his death in 1794.</t>
  </si>
  <si>
    <t xml:space="preserve">Friedrich Wilhelm von Steuben (1730–1794) was a **Prussian military officer** who became one of the most important figures in the American Revolutionary War.
---
### Key Facts:
* **Early life:** Born in Magdeburg, Prussia (modern-day Germany). Trained in the Prussian army under Frederick the Great, known for its strict discipline and effectiveness.
* **Came to America (1777):** Recruited through Benjamin Franklin and others in Paris. Arrived at Valley Forge when the Continental Army was suffering from poor training, disorganization, and low morale.
* **Role in the Revolution:**
  * Appointed **Inspector General** of the Continental Army.
  * Introduced **European-style drills, organization, and discipline**.
  * Wrote the **“Blue Book” (Regulations for the Order and Discipline of the Troops of the United States)**, which became the Army’s first official training manual.
  * Credited with turning George Washington’s ragtag army into a professional fighting force.
* **Later life:** Granted U.S. citizenship and land in New York. He remained a respected figure after the war and helped shape the foundations of the U.S. military.
---
✅ In short: **Von Steuben was the Prussian officer who trained and disciplined the Continental Army, transforming it into a professional force and playing a key role in America’s victory over Britain.**
Would you like me to also tell you about some of his **unique training methods** (like his use of humor, cursing in several languages, and hands-on drills)?
</t>
  </si>
  <si>
    <t>Friedrich Wilhelm von Steuben was a Prussian-born military officer who played a crucial role in the American Revolutionary War by transforming the Continental Army into a disciplined and effective fighting force. Born on September 17, 1730, in Magdeburg, Prussia, von Steuben received his early military training in the Prussian Army, widely recognized at the time for its discipline and organizational excellence.[1][2][3]
### Military Background and Arrival in America- Von Steuben served with distinction during the Seven Years' War, rising to the rank of captain and serving as aide-de-camp to Frederick the Great.[1][4]
- After his discharge from the Prussian army, he held court positions in various German principalities and was awarded the title of “Baron”.[2][1]
- Unable to find further military work in Europe, von Steuben was recruited by American diplomats in France (including Benjamin Franklin) to assist the fledgling Continental Army.[1]
### Contributions to the American Revolution- Arriving at Valley Forge in the winter of 1777–78, von Steuben was appalled by the lack of discipline and training among American troops. He immediately began drilling soldiers in line with Prussian methods, introducing standardized drills, tactics, and camp organization.[1][3][4]
- He wrote the influential “Regulations for the Order and Discipline of the Troops of the United States,” widely known as the "Blue Book," which served as the Army’s drill manual for decades and laid the foundation for modern U.S. military practices.[3]
- Von Steuben also fought administrative waste and corruption, saving vital resources for the army.[1]
- His reforms were so effective that in 1778 he was appointed Inspector General and later served as chief of staff and a trusted advisor to General George Washington.[3][1]
### Later Life and Legacy- After the war, von Steuben was made a U.S. citizen, granted land in New York, and continued to be recognized for his contributions. He died on November 28, 1794.[1][2][3]
- Von Steuben is celebrated as one of the most important figures in shaping the professionalism and effectiveness of the early United States Army.[3][1]
His legacy lives on through military training standards and the enduring impact he had on the outcome of the Revolutionary War.Friedrich Wilhelm von Steuben was a Prussian-born American military officer who played a key role in shaping the Continental Army during the American Revolutionary War. Born in Magdeburg, Prussia, in 1730, he began his military career as a teenager in the Prussian Army, rising to the rank of captain and serving as aide-de-camp to King Frederick II the Great. After leaving military service, von Steuben eventually came to America in 1777 and was appointed as temporary Inspector General of the Continental Army.[2][1][3]
Von Steuben is best known for drastically improving the poor discipline, training, and organization of the Continental soldiers at Valley Forge. His Prussian-inspired drills, tactics, and manual, "Regulations for the Order and Discipline of the Troops of the United States," became the army’s core training standard for decades. He instilled effective military discipline, addressed issues of waste and corruption, and became one of George Washington’s most trusted advisors. Von Steuben was commissioned as Inspector General with the rank of Major General in 1778 and served the remainder of the war in influential leadership and staff roles.[1][3]
After the war, von Steuben became a U.S. citizen, received land in New York, and is remembered as a crucial founder of American military professionalism, whose legacy persists in U.S. military training to this day.
[1](https://en.wikipedia.org/wiki/Friedrich_Wilhelm_von_Steuben)
[2](https://www.battlefields.org/learn/biographies/baron-von-steuben)
[3](https://www.europeafrica.army.mil/Who-We-Are/Mission-History/Heroes-of-Two-Nations/Army-250-Biography-view-page/Article/4118768/baron-friedrich-wilhelm-von-steuben-1730-1794/)
[4](https://www.nps.gov/vafo/learn/historyculture/vonsteuben.htm)
[5](https://www.bergencountyhistory.org/steuben-bio)
[6](https://www.ushistory.org/valleyforge/served/steuben.html)
[7](https://www.britannica.com/biography/Baron-von-Steuben)
[8](https://ig.army.mil/Portals/101/Documents/IG%20History/von_Steu.pdf?ver=JAfUfdfWFW_hFaRW_Z0jWQ%3D%3D)</t>
  </si>
  <si>
    <t>Friedrich Wilhelm von Steuben was a Prussian military officer who played a crucial role in training and professionalizing the Continental Army during the American Revolutionary War.
**Background:**
- Born in 1730 in Prussia (modern-day Germany)
- Served in the Prussian Army under Frederick the Great during the Seven Years' War
- Gained extensive military experience in European-style warfare and military organization
**Arrival in America (1778):**
- Came to America at age 47, recruited by Benjamin Franklin and other American representatives in Paris
- Arrived at Valley Forge in February 1778 during one of the Continental Army's darkest periods
- Volunteers to serve without pay initially, demonstrating his commitment to the American cause
**Major Contributions:**
**Military Training and Discipline:**
- Transformed the Continental Army from a collection of militias into a professional fighting force
- Introduced European military drill, discipline, and organization
- Created standardized training manuals and procedures
- Established a systematic approach to military hygiene and camp organization
**The "Blue Book":**
- Wrote "Regulations for the Order and Discipline of the Troops of the United States" (1779)
- This manual became the standard for American military training for decades
- Covered everything from basic drill to battlefield tactics
**Valley Forge Transformation:**
- His training during the brutal winter of 1777-1778 is legendary
- Taught soldiers proper marching, weapon handling, and battlefield maneuvers
- Improved morale and military effectiveness dramatically
**Later Life:**
- Became an American citizen and was granted land in New York
- Served as Inspector General of the Continental Army
- Died in 1794 at his estate in New York
**Legacy:**
Von Steuben is remembered as one of the foreign volunteers who was instrumental in American independence. His professional military expertise helped transform the Continental Army into a force capable of defeating the British. Many consider him the father of the modern American military training system.</t>
  </si>
  <si>
    <t>Who were the 6 wives of Henry viii?</t>
  </si>
  <si>
    <t>Henry VIII of England had six wives, each with distinct stories and fates. Here they are in order:
1. **Catherine of Aragon** (married 1509–1533): Spanish princess, previously married to Henry’s brother Arthur. Devout Catholic, mother of Mary I. Divorced after failing to produce a male heir, sparking the English Reformation. Her marriage was annulled.
2. **Anne Boleyn** (married 1533–1536): Charismatic and ambitious, mother of Elizabeth I. Accused of adultery, treason, and incest, she was beheaded. Her marriage to Henry led to England’s break with Rome.
3. **Jane Seymour** (married 1536–1537): Gave birth to Edward VI, Henry’s longed-for male heir. Died shortly after childbirth from complications. Considered Henry’s favorite, as she provided a son.
4. **Anne of Cleves** (married 1540): German princess, married to cement a political alliance. Henry found her unattractive, and the marriage was annulled after six months. She remained in England, well-treated, as the “King’s Sister.”
5. **Catherine Howard** (married 1540–1542): Young and vivacious, she was executed for adultery and treason after affairs were uncovered. Beheaded at age 21, her short marriage ended in scandal.
6. **Catherine Parr** (married 1543–1547): Widowed twice before, she was a scholarly reformer who outlived Henry. Helped reconcile him with his daughters and promoted Protestantism. Remarried after his death.
Their fates are often summarized as: *Divorced, Beheaded, Died, Divorced, Beheaded, Survived.*</t>
  </si>
  <si>
    <r>
      <rPr/>
      <t xml:space="preserve">The six wives of King Henry VIII were, in chronological order:
* **Catherine of Aragon:** Married for 24 years (1509-1533). She was the mother of Mary I. Henry sought an annulment because she failed to produce a male heir, which led to the English Reformation and the break with the Roman Catholic Church. The marriage was annulled, and she died in isolation.
* **Anne Boleyn:** Married from 1533-1536. She was the mother of Elizabeth I. Anne's inability to provide a son, along with Henry's growing affection for Jane Seymour, led to her downfall. She was accused of treason, incest, and adultery and was beheaded. 
* **Jane Seymour:** Married from 1536-1537. She was the mother of Henry's only legitimate son, Edward VI. She died of complications a few weeks after childbirth, and Henry was reportedly devastated. She is considered the only one of his wives he truly loved.
* **Anne of Cleves:** Married for just six months in 1540. Their marriage was a political alliance that Henry found unappealing in person. The marriage was annulled, but she remained in England with the title "King's Beloved Sister" and outlived the rest of Henry's wives.
* **Catherine Howard:** Married from 1540-1541. She was a young cousin of Anne Boleyn. Henry, now in his late 40s, was infatuated with her, but she was accused of adultery and was beheaded.
* **Catherine Parr:** Married from 1543-1547. She was an educated and devout Protestant widow who served as a companion and nurse to the aging king. She helped to reconcile Henry with his daughters, Mary and Elizabeth, and survived him.
Learn more about the six wives of Henry VIII by watching [this documentary](https://www.youtube.com/watch?v=RR16igcM1Hw).
</t>
    </r>
    <r>
      <rPr>
        <color rgb="FF1155CC"/>
        <u/>
      </rPr>
      <t>http://googleusercontent.com/youtube_content/2</t>
    </r>
  </si>
  <si>
    <t xml:space="preserve">Henry VIII of England (reigned 1509–1547) is famously known for having **six wives**. Their fates are often remembered with the rhyme: *“Divorced, beheaded, died; divorced, beheaded, survived.”*
Here they are in order:
1. **Catherine of Aragon** (m. 1509–1533)
   * Spanish princess, widow of Henry’s older brother Arthur.
   * Marriage annulled after she failed to produce a surviving male heir (only their daughter Mary survived).
   * This annulment led Henry to break from the Catholic Church and create the Church of England.
   * **Fate:** Divorced (actually annulled).
2. **Anne Boleyn** (m. 1533–1536)
   * Lady-in-waiting to Catherine of Aragon.
   * Mother of Elizabeth I.
   * Accused of adultery, incest, and treason (charges likely fabricated).
   * **Fate:** Beheaded.
3. **Jane Seymour** (m. 1536–1537)
   * Lady-in-waiting to Anne Boleyn.
   * Gave birth to Edward VI (Henry’s only surviving legitimate son).
   * Died from complications shortly after childbirth.
   * **Fate:** Died.
4. **Anne of Cleves** (m. January–July 1540)
   * German princess; marriage arranged for political alliance.
   * Henry claimed he found her unattractive (“the Flanders Mare”).
   * Marriage annulled after 6 months, but they stayed on good terms.
   * **Fate:** Divorced.
5. **Catherine Howard** (m. 1540–1542)
   * Cousin of Anne Boleyn, much younger than Henry.
   * Accused of adultery.
   * **Fate:** Beheaded.
6. **Catherine Parr** (m. 1543–1547)
   * Widowed twice before marrying Henry.
   * Acted as nurse to the aging, sick king.
   * Outlived Henry and later remarried.
   * **Fate:** Survived.
---
✅ Summary:
* Catherine of Aragon → Divorced
* Anne Boleyn → Beheaded
* Jane Seymour → Died
* Anne of Cleves → Divorced
* Catherine Howard → Beheaded
* Catherine Parr → Survived
Would you like me to also make you a **timeline chart** to visualize Henry VIII’s marriages alongside major historical events?
</t>
  </si>
  <si>
    <t>The six wives of Henry VIII were:
- Catherine of Aragon
- Anne Boleyn
- Jane Seymour
- Anne of Cleves
- Catherine Howard
- Catherine Parr.[1][2][3][6][7]
### Wives in Order with Key Facts| Wife               | Marriage Dates     | Outcome                 |
|--------------------|-------------------|-------------------------|
| Catherine of Aragon| 1509–1533         | Marriage annulled       |
| Anne Boleyn        | 1533–1536         | Executed (beheaded)     |
| Jane Seymour       | 1536–1537         | Died after childbirth   |
| Anne of Cleves     | Jan–Jul 1540      | Annulled                |
| Catherine Howard   | 1540–1542         | Executed (beheaded)     |
| Catherine Parr     | 1543–1547         | Survived Henry VIII     |
These marriages are often remembered by the rhyme: "divorced, beheaded, died, divorced, beheaded, survived," describing each wife's fate.
[1](https://en.wikipedia.org/wiki/Wives_of_Henry_VIII)
[2](https://www.hrp.org.uk/hampton-court-palace/history-and-stories/henry-viii-s-wives-six-queens-six-women/)
[3](https://www.historyhit.com/the-6-wives-of-henry-viii-in-order/)
[4](https://www.hrp.org.uk/schools/learning-resources/king-henry-viii-and-his-six-wives-fact-sheet/)
[5](https://www.rmg.co.uk/stories/royal-history/who-were-henry-viiis-wives)
[6](https://www.natgeokids.com/uk/discover/history/monarchy/wives-of-henry-viii/)
[7](https://www.historyextra.com/period/tudor/henry-viiis-six-wives-your-guide-to-the-tudor-kings-queen-consorts/)
[8](https://tudorhistory.org/wives/)</t>
  </si>
  <si>
    <t>Henry VIII had six wives during his tumultuous reign. Here they are in chronological order:
**1. Catherine of Aragon (married 1509-1533)**
- Spanish princess, previously married to Henry's deceased brother Arthur
- Mother of Mary I (later Queen Mary I)
- Marriage annulled after 24 years when Henry sought a male heir and wanted to marry Anne Boleyn
**2. Anne Boleyn (married 1533-1536)**
- English noblewoman whose refusal to become Henry's mistress led to his break with Rome
- Mother of Elizabeth I (later Queen Elizabeth I)
- Executed on charges of adultery, incest, and treason (likely fabricated)
**3. Jane Seymore (married 1536-1537)**
- Former lady-in-waiting to Anne Boleyn
- Mother of Edward VI (Henry's only legitimate male heir)
- Died from complications following childbirth, just 12 days after giving birth
**4. Anne of Cleves (married January-July 1540)**
- German princess, arranged marriage for political alliance
- Marriage annulled after six months when Henry found her unattractive
- Called Henry's "beloved sister" afterward; she outlived him and lived comfortably in England
**5. Catherine Howard (married 1540-1542)**
- Young English noblewoman, Anne Boleyn's cousin
- Executed for adultery (evidence suggests she had relationships before and possibly during marriage)
- Was likely only 16-21 years old when she died
**6. Catherine Parr (married 1543-1547)**
- Twice-widowed English noblewoman
- Survived Henry VIII (who died in 1547)
- Known for her intelligence and Protestant sympathies; helped reconcile Henry with his daughters Mary and Elizabeth
**The famous rhyme:** "Divorced, beheaded, died; divorced, beheaded, survived" helps remember their fates.
Henry's quest for a male heir and his desire to control his marriages led to the English Reformation and his break with the Catholic Church.</t>
  </si>
  <si>
    <t>What caused the French Revolution?</t>
  </si>
  <si>
    <t>The French Revolution (1789–1799) was triggered by a complex mix of social, economic, political, and intellectual factors that built up over time, creating widespread discontent and sparking radical change. Here are the main causes:
1. **Economic Crisis**: France faced severe financial strain due to extravagant spending by the monarchy (e.g., Louis XVI’s court at Versailles), costly wars (like the Seven Years’ War and support for the American Revolution), and an inefficient tax system. A growing national debt and poor harvests in the 1780s led to food shortages, skyrocketing bread prices, and widespread hunger, especially among the urban poor and peasants.
2. **Social Inequality**: The rigid class system, known as the Estates System, divided society into three groups: the First Estate (clergy), Second Estate (nobility), and Third Estate (commoners, including peasants, workers, and the bourgeoisie). The Third Estate, despite being the vast majority (about 97% of the population), bore the tax burden while the privileged estates enjoyed exemptions and wealth. This inequality fueled resentment, especially among the rising middle class, who sought political power matching their economic influence.
3. **Political Weakness of the Monarchy**: Louis XVI was an indecisive ruler, unable to address the financial crisis or push through reforms. His failure to manage the Estates-General meeting in 1789, where the Third Estate demanded fair representation, led to the formation of the National Assembly and the revolution’s start. Queen Marie Antoinette’s perceived extravagance further eroded public trust.
4. **Enlightenment Ideas**: Intellectuals like Voltaire, Rousseau, and Montesquieu criticized absolute monarchy and championed ideas of liberty, equality, and democracy. Their writings inspired the Third Estate to demand rights and question the divine right of kings, laying the ideological groundwork for revolution.
5. **Influence of the American Revolution**: France’s support for the American Revolution (1775–1783) not only drained its treasury but also exposed French soldiers and thinkers to democratic ideals. Returning veterans, like those influenced by Friedrich Wilhelm von Steuben’s American experience (as you mentioned earlier), spread ideas of republicanism and reform.
6. **Immediate Triggers**: The Estates-General’s failure in 1789, coupled with public outrage over royal attempts to suppress reform (e.g., dismissing reformist minister Necker), led to uprisings like the storming of the Bastille on July 14, 1789. This event symbolized the people’s defiance and marked the revolution’s violent turn.
These factors combined to create a powder keg: economic desperation, social injustice, weak leadership, and revolutionary ideas ignited mass unrest, leading to the overthrow of the monarchy, the establishment of a republic, and profound changes in French society.</t>
  </si>
  <si>
    <t>The French Revolution was caused by a complex mix of social, economic, and political factors that created widespread discontent among the population. The primary causes were the severe social inequality of the Old Regime, the financial crisis of the monarchy, the influence of Enlightenment ideas, and a series of poor harvests.
### **Social Inequality**
French society was rigidly divided into three estates, with the Third Estate, which included commoners, carrying the weight of the nation while having virtually no political power.
* **First Estate:** The clergy (about 1% of the population), who owned vast amounts of land and were exempt from paying taxes.
* **Second Estate:** The nobility (about 2% of the population), who held most of the highest positions in government and the military and also paid very few taxes.
* **Third Estate:** Everyone else—from peasants to urban workers and the bourgeoisie (middle class)—who made up 97% of the population. They bore the burden of all taxes, including the *taille* (a land tax) and taxes on salt, while having no voice in how the country was run.
---
### **Economic Crisis**
France was on the verge of bankruptcy due to several factors. The lavish spending of the monarchy, particularly under **King Louis XVI** and **Queen Marie Antoinette**, was a major drain on the treasury. Additionally, France's costly involvement in the American Revolutionary War had deepened its debt. This was compounded by a series of bad harvests in the 1780s, which led to a dramatic increase in the price of bread, the main food source for the poor. Starvation and poverty became widespread, fueling public anger.
---
### **Political and Enlightenment Ideals**
The ideas of the **Enlightenment** profoundly influenced the French populace. Philosophers like Jean-Jacques Rousseau and Montesquieu advocated for concepts such as liberty, equality, and the separation of powers. These ideas challenged the absolute authority of the monarch and the divine right of kings, inspiring the Third Estate to demand a new form of government based on popular sovereignty and individual rights.
---
### **The Role of the Monarchy**
King Louis XVI's inability to address the growing crisis further fueled the revolution. When he called the **Estates-General** in 1789 to address the financial crisis, he underestimated the resolve of the Third Estate. After their demands for equal representation were rejected, the Third Estate declared themselves the National Assembly, marking the beginning of the revolution and the end of the Old Regime.</t>
  </si>
  <si>
    <t xml:space="preserve">The **French Revolution (1789–1799)** had many causes, all building up over time. Historians usually group them into **social, political, economic, and intellectual factors**:
---
### 1. **Social Inequality (The Three Estates)**
* France’s society was divided into **three estates**:
  * **First Estate:** Clergy (privileged, paid little in taxes)
  * **Second Estate:** Nobility (privileged, exempt from many taxes)
  * **Third Estate:** Everyone else (peasants, workers, middle class — about 97% of the population, but carried most of the tax burden)
* The Third Estate resented being overtaxed and underrepresented.
---
### 2. **Economic Crisis**
* **Debt:** France was nearly bankrupt after funding the American Revolution and years of royal extravagance.
* **Taxes:** The poor paid heavy taxes, while nobles and clergy avoided them.
* **Food shortages:** Poor harvests in the 1780s caused bread prices to skyrocket, fueling anger among peasants and city dwellers.
---
### 3. **Weak Monarchy**
* King **Louis XVI** was indecisive and struggled with reforms.
* Queen **Marie Antoinette** was unpopular, symbolizing royal waste (“Madame Deficit”).
* Attempts at reform (like taxing the nobility) failed because nobles resisted.
---
### 4. **Political Conflict**
* The **Estates-General** (a representative assembly) was called in 1789 to deal with the crisis.
* The Third Estate demanded more political power, eventually breaking away and declaring themselves the **National Assembly**.
* This challenged the king’s authority and triggered revolutionary momentum.
---
### 5. **Enlightenment Ideas**
* Philosophers like **Voltaire, Rousseau, and Montesquieu** spread ideas of liberty, equality, popular sovereignty, and human rights.
* These challenged the traditional order and inspired revolutionaries.
---
### 6. **Influence of Other Revolutions**
* The **American Revolution (1776)** showed that ordinary people could overthrow a monarchy and establish a republic.
* French soldiers who fought in America returned with revolutionary ideals.
---
✅ **In short:** The French Revolution was caused by a mix of **deep inequality, financial crisis, weak leadership, political deadlock, and new Enlightenment ideals** — all ignited by immediate hardship (food shortages and debt).
Would you like me to also give you a **short timeline of the key events** at the start of the Revolution (1789–1791)?
</t>
  </si>
  <si>
    <t>The French Revolution was caused by a combination of social, economic, political, and intellectual factors that created widespread unrest and ultimately led to the overthrow of the monarchy.[1][2][5][6]
### Main Causes- **Social Inequality:** French society was divided into three estates: the clergy (First), the nobility (Second), and the commoners (Third). The First and Second Estates enjoyed privileges and rarely paid taxes, while the Third Estate (about 98% of the population) bore the tax burden and suffered under feudal obligations.[2][5][6]
- **Economic Hardship and Debt:** Poor harvests, rising prices, and food shortages left common people hungry and desperate. The monarchy had amassed massive debts, particularly after funding wars such as the American Revolution, and failed attempts at reform deepened the crisis.[1][5][7]
- **Absolute Monarchy and Weak Leadership:** King Louis XVI and Queen Marie Antoinette were seen as ineffective and extravagant. The monarchy resisted meaningful reforms and appeared increasingly disconnected from public suffering.[3][7]
- **Enlightenment Ideas:** Philosophers (philosophes) spread new ideas about liberty, equality, and democracy, which undermined belief in the divine right of kings and inspired many to challenge the old order.[6][1][2]
- **Political Conflict:** Calls for more representative government led to the formation of the Estates-General and later the National Assembly, as the Third Estate sought political change after being ignored by the king.[7][2]
- **Immediate Triggers:** Widespread protests over food shortages, high taxes, and unemployment created the spark, leading to events like the Storming of the Bastille in July 1789.[5][6]
These causes worked together to create an environment of crisis and revolution, transforming France’s government and society in fundamental ways.
[1](https://www.britannica.com/event/French-Revolution)
[2](https://en.wikipedia.org/wiki/Causes_of_the_French_Revolution)
[3](https://www.historyhit.com/the-6-main-causes-of-the-french-revolution/)
[4](https://www.swansea.ac.uk/history/history-study-guides/the-long-and-short-reasons-for-why-revolution-broke-out-in-france-in-1789/)
[5](https://www.thecollector.com/french-revolution-causes/)
[6](https://www.studentsofhistory.com/causes-of-the-french-revolution)
[7](https://www.reddit.com/r/explainlikeimfive/comments/1je59wy/eli5_what_is_the_main_cause_of_the_french/)
[8](https://www.youtube.com/watch?v=VJEbiiYDlkE)
[9](https://revolution.chnm.org/exhibits/show/liberty--equality--fraternity/social-causes-of-revolution)</t>
  </si>
  <si>
    <t>The French Revolution (1789-1799) resulted from a complex combination of political, economic, social, and intellectual factors that created a revolutionary crisis:
**Financial Crisis**
France was essentially bankrupt by the 1780s due to costly wars, including the Seven Years' War and support for the American Revolution. The government spent about half its budget just servicing debt. Attempts at tax reform were blocked by privileged classes who were exempt from most taxes.
**Social Inequality and the Old Regime**
French society was divided into three estates:
- First Estate (clergy) - about 1% of population, owned 10% of land, paid no taxes
- Second Estate (nobility) - about 2% of population, owned 25% of land, largely tax-exempt  
- Third Estate (everyone else) - 97% of population, bore most of the tax burden
This rigid system created resentment, especially among the growing bourgeoisie (middle class) who had wealth but lacked political power and social status.
**Economic Hardships**
Poor harvests in the 1780s led to bread shortages and high prices. Urban workers spent up to 80% of their income on bread. Rural peasants faced feudal obligations, heavy taxes, and economic insecurity.
**Political Absolutism**
Louis XVI ruled as an absolute monarch with no constitutional limits on his power. There was no national representative body (the Estates-General hadn't met since 1614). The monarchy seemed incapable of meaningful reform.
**Enlightenment Ideas**
Philosophers like Voltaire, Rousseau, and Montesquieu challenged traditional authority and promoted concepts of natural rights, popular sovereignty, separation of powers, and religious tolerance. These ideas undermined the intellectual foundations of the Old Regime.
**Immediate Trigger**
The financial crisis forced Louis XVI to call the Estates-General in 1789. When the Third Estate was outvoted despite representing 97% of the population, they broke away to form the National Assembly, taking the Tennis Court Oath and beginning the revolution.
**American Example**
The American Revolution demonstrated that overthrowing monarchy was possible and that Enlightenment principles could work in practice.
These factors combined to create a perfect storm that transformed not just France, but influenced democratic movements worldwide.</t>
  </si>
  <si>
    <t>What race was Cleopatra?</t>
  </si>
  <si>
    <t>Cleopatra VII, the famous last pharaoh of ancient Egypt (r. 51–30 BCE), was a member of the Ptolemaic dynasty, which was founded by Ptolemy I Soter, a Macedonian Greek general of Alexander the Great. As such, she was predominantly of Macedonian Greek ethnicity, with possible minor admixtures of Iranian (Persian and Sogdian) descent from intermarriages with the Seleucid dynasty. Contemporary Roman sources, such as Plutarch and Cassius Dio, describe her as a Greek-speaking ruler fluent in multiple languages, including Egyptian, but they do not emphasize her as ethnically Egyptian. Coin portraits and busts depict her with features consistent with Mediterranean Greek iconography, such as a prominent nose and broad forehead.
The concept of "race" as understood today—categorized by skin color or continental origin—did not exist in the ancient world. Ancient Egyptians and Greeks prioritized cultural practices, language, and nobility over physical appearance for identity. Cleopatra adopted Egyptian customs (e.g., presenting herself as the goddess Isis) to legitimize her rule, making her "Egyptian" in a political and cultural sense, but her lineage was Hellenistic Greek.
Debates about her being Black (sub-Saharan African) stem from modern Afrocentric interpretations, sometimes citing speculative Egyptian ancestry through her mother (possibly Cleopatra V Tryphaena) or her sister Arsinoë IV's remains (disputed as not matching Arsinoë's age). However, scholars overwhelmingly reject this, noting no ancient evidence supports significant sub-Saharan heritage, and the Ptolemaic rulers maintained endogamy to preserve their Greek identity. Recent controversies, like Netflix's 2023 docudrama casting a Black actress, highlight how contemporary racial politics project modern binaries onto antiquity, often ignoring the fluidity of ancient identities.
In summary, Cleopatra was ethnically Greek (Macedonian), not fitting neatly into today's racial categories, and her legacy as a brilliant strategist and polyglot ruler transcends such debates.Cleopatra VII Philopator (69–30 BCE), the last active ruler of the Ptolemaic Kingdom of Egypt, was ethnically Macedonian Greek. She belonged to the Ptolemaic dynasty, founded by Ptolemy I Soter, a Macedonian general and companion of Alexander the Great, who seized control of Egypt after Alexander's death in 323 BCE. The Ptolemies were a Hellenistic Greek royal family that ruled Egypt as a multicultural but predominantly Greek-speaking elite, maintaining a policy of intermarriage within their own dynasty to preserve their lineage. Cleopatra's father was Ptolemy XII Auletes, and her mother is most likely Cleopatra V Tryphaena (a Ptolemaic queen of Greek descent), though some historians speculate about a possible Egyptian or Syrian concubine as her mother—claims that remain unproven and are considered unlikely by most scholars.
### Ancestry and Heritage
- **Primary Lineage**: Through both her father and presumed mother, Cleopatra's direct ancestry was Macedonian Greek, tracing back to northern Greece. The Ptolemies did not typically intermarry with native Egyptians, and there is no contemporary evidence of significant Egyptian blood in her immediate family.
- **Possible Admixtures**: Earlier in the dynasty, there was some Persian (Iranian) influence via Cleopatra I Syra (a distant ancestor), who was the daughter of Seleucid king Antiochus III (of partial Sogdian Iranian descent). This might have introduced minor non-Greek elements, making Cleopatra potentially about three-quarters Macedonian Greek and one-quarter Persian or similar. Some sources suggest a Syrian grandmother, but again, this was within the Hellenistic world, not sub-Saharan African.
- **Cultural Identity**: Raised in Alexandria—a cosmopolitan Greek city founded by Alexander—Cleopatra's first language was Koine Greek. She was the first Ptolemaic ruler to learn Egyptian (along with several other languages), adopting pharaonic titles and portraying herself as the goddess Isis to legitimize her rule among native Egyptians. However, she identified culturally and ethnically as Greek, as noted by ancient sources like Plutarch.
### Appearance and "Race"
Ancient depictions, such as Roman coins and busts (e.g., the Berlin Portrait Bust), show her with features consistent with a Mediterranean Greek profile: straight nose, full lips, and likely olive or "honey"-toned skin, dark hair, and a fair-to-medium complexion. Roman historian Plutarch described her charm and intellect more than her looks, but emphasized her Greek sophistication. Applying modern racial categories (which didn't exist in antiquity) is anachronistic, but based on historical evidence, she would be classified as white/Caucasian of Greek ethnicity, not Black or African in the sub-Saharan sense.
### The Modern Debate
Claims that Cleopatra was Black or of significant sub-Saharan African descent arise from Afrocentric interpretations, modern media (e.g., the 2023 Netflix docudrama *Queen Cleopatra*, which cast a Black actress and sparked backlash in Egypt), and efforts to highlight Egypt's African connections. These views often cite her Egyptian rule or unverified family rumors, but they lack support from primary sources like ancient texts, archaeology, or genetics. Egyptian officials and historians have criticized such portrayals as inaccurate, noting the Ptolemies were foreign Greek conquerors who oppressed native Egyptians. While Egypt's population included diverse peoples (including Nubians), Cleopatra's elite Ptolemaic family remained segregated from them.
In summary, Cleopatra was a Greek woman ruling as an Egyptian pharaoh—her "race" in today's terms was Mediterranean white, but her legacy transcends ethnicity as a brilliant multilingual strategist who challenged Rome.</t>
  </si>
  <si>
    <t>Cleopatra VII, the last active ruler of the Ptolemaic Kingdom of Egypt, was a member of the **Ptolemaic dynasty**, a Macedonian Greek royal family. This dynasty was founded by Ptolemy I Soter, a general under Alexander the Great, who took control of Egypt after Alexander's death in 323 B.C.
For nearly 300 years, the Ptolemies ruled Egypt as Greek monarchs, with a strong tradition of inbreeding to maintain the purity of their bloodline. As a result, Cleopatra was predominantly of Macedonian Greek ancestry.
While some scholars have speculated that her mother or paternal grandmother may have been Egyptian or from another background, there is no definitive historical evidence to support these claims. The Ptolemaic family tree is well-documented, showing a pattern of sibling marriages that would have maintained a strong Greek lineage.
It's also worth noting that the concept of "race" as it is understood today did not exist in the ancient world. People identified more with their geographical origin, lineage, and culture. While Cleopatra embraced many aspects of Egyptian culture and was the first in her dynasty to learn the Egyptian language, her ancestry was firmly rooted in her Greek heritage.</t>
  </si>
  <si>
    <t xml:space="preserve">That’s a really thoughtful question — Cleopatra VII (the famous queen of Egypt, 69–30 BCE) is often at the center of debates about “race.” Here’s what historians know (and don’t know):
---
### 1. **Her Family Background**
* Cleopatra was a member of the **Ptolemaic dynasty**, descended from **Ptolemy I Soter**, a Macedonian Greek general of Alexander the Great.
* The Ptolemies ruled Egypt from 305–30 BCE. They mostly married within their own family (siblings, cousins) or other Greek/Macedonian nobles to preserve their Greek heritage.
---
### 2. **Uncertainty About Her Mother**
* Cleopatra’s father was **Ptolemy XII Auletes** (Greek).
* Her mother is not definitively known — possibly Cleopatra V Tryphaena (Greek), but some historians think she may have been of **Egyptian descent**.
* This means there’s *some* chance Cleopatra had Egyptian ancestry, but there’s no hard evidence.
---
### 3. **How Cleopatra Saw Herself**
* She was the **first Ptolemaic ruler to learn the Egyptian language** and present herself as a true Egyptian pharaoh (others leaned heavily on Greek culture).
* In religion and politics, she styled herself as the goddess **Isis**, to connect with her Egyptian subjects.
---
### 4. **Modern Misunderstandings**
* In the ancient world, people didn’t use “race” the way we think of it today (Black, white, etc.). Identity was more about culture, language, and power.
* So, Cleopatra was **culturally Greek and politically Egyptian**.
* Artist depictions from her time (coins, statues) show her with typical Hellenistic Greek features, but that doesn’t settle the ancestry question completely.
---
✅ **In summary:** Cleopatra was almost certainly of **Greek Macedonian descent** through her father, with a small possibility of Egyptian ancestry through her mother. In terms of identity, she was a **Greek-speaking queen who embraced Egyptian culture** — not easily mapped onto modern racial categories.
Would you like me to also explain **why her “race” is still debated today**, especially in modern cultural and political discussions?
</t>
  </si>
  <si>
    <t>Cleopatra was predominantly of Macedonian Greek ancestry with possible minor Egyptian and Iranian (Sogdian and Persian) descent. She was a member of the Ptolemaic dynasty, which was of Macedonian Greek origin, established after Alexander the Great's conquest of Egypt. While there is some speculation that she may have had a small amount of Egyptian blood, there is no credible evidence to suggest she was Black African by modern racial definitions. The best evidence suggests she was about three-quarters Macedonian Greek and up to one-quarter Egyptian. Cleopatra identified culturally and linguistically with the Greeks but ruled over Egypt and embraced its religious and cultural aspects. Her physical appearance is thought to have included olive or light brown complexion with dark hair.
[1](https://www.reddit.com/r/AskHistorians/comments/12r6rgc/was_cleopatra_black/)
[2](https://blog.oup.com/2010/12/cleopatra-2/)
[3](https://time.com/6273435/cleopatra-race-debate-netflix/)
[4](https://en.wikipedia.org/wiki/Ethnicity_of_Cleopatra)
[5](https://www.aljazeera.com/opinions/2023/5/1/cleopatra-was-egyptian-whether-black-or-brown-matters)
[6](https://theamericanscholar.org/black-cleopatra/)
[7](https://www.youtube.com/watch?v=QeV26tPTfAA)
[8](https://www.nbcnews.com/news/world/queen-cleopatra-black-egypt-netflix-series-rcna81924)</t>
  </si>
  <si>
    <t>Cleopatra VII, the famous last pharaoh of Egypt, was ethnically **Macedonian Greek**, not Egyptian or African.
**Her Ancestry:**
- She was a descendant of Ptolemy I, one of Alexander the Great's generals who became ruler of Egypt after Alexander's death in 323 BCE
- The Ptolemaic dynasty ruled Egypt for nearly 300 years (305-30 BCE)
- The Ptolemies were Macedonian Greeks who maintained their Greek identity and customs
**Ptolemaic Marriage Practices:**
- The Ptolemaic rulers frequently married within their own family to keep the bloodline "pure" and maintain political control
- Cleopatra herself married two of her younger brothers (as was Ptolemaic custom)
- This intensive intermarriage means her ancestry was predominantly Macedonian Greek
**What We Know:**
- Historical records and genealogical evidence strongly support her Macedonian Greek heritage
- She was likely the first Ptolemaic ruler to actually learn the Egyptian language
- Ancient sources describe her as intelligent and charismatic but don't provide detailed physical descriptions
**Important Context:**
- Ancient concepts of race and ethnicity were different from modern ones
- Cleopatra ruled Egypt and identified as pharaoh, but ethnically she was from the Greek ruling class
- Egypt itself was ethnically diverse, with native Egyptians, Greeks, Romans, Nubians, and other groups
- While she was the ruler of an African kingdom, her personal ancestry was Macedonian Greek
The historical evidence consistently points to Cleopatra being of Macedonian Greek descent, though she ruled Egypt and became one of its most famous pharaohs.</t>
  </si>
  <si>
    <t>What kind of paint was used to paint the Mona Lisa?</t>
  </si>
  <si>
    <t>The **Mona Lisa**, painted by **Leonardo da Vinci** in the early 16th century (circa 1503–1506), was created using **oil paint** on a **poplar wood panel**. This was a common medium for Renaissance artists in Italy at the time, though Leonardo's innovative techniques set his work apart. Here are the key details about the paint and methods used:
- **Oil Paint**: Leonardo used oil-based paints, likely made from pigments ground into linseed oil or walnut oil, a technique that was becoming more widespread in Europe, influenced by Northern European artists like Jan van Eyck. Oil paint allowed for greater flexibility, richer colors, and subtle blending compared to earlier tempera (egg-based) paints.
- **Pigments**: The specific pigments Leonardo used for the *Mona Lisa* included:
  - **Lead white** for highlights and lighter tones.
  - **Vermilion** (mercury sulfide) for reds.
  - **Azurite** or **lapis lazuli** (for ultramarine blue) in the background and her veil.
  - **Ochre** and **umber** for earthy tones in her skin and clothing.
  - **Carbon black** or **bone black** for darker areas and shadows.
  These pigments were mixed with oil to create a range of hues and achieve the soft, lifelike transitions Leonardo was known for.
- **Sfumato Technique**: Leonardo’s signature *sfumato* ("smoky") technique involved layering thin, translucent glazes of oil paint to create soft edges and gradual transitions between colors and tones, particularly in the face, hands, and background. This required multiple layers of diluted paint, applied meticulously to achieve the *Mona Lisa*’s enigmatic expression and realistic depth.
- **Glazing**: He applied numerous thin layers of oil paint, sometimes mixed with a medium like linseed oil or a resin to enhance transparency. This allowed light to penetrate the layers, creating a luminous effect, especially in the skin tones and atmospheric background.
- **Support**: The painting was done on a thin poplar wood panel, prepared with a gesso ground (a white base layer, likely made from chalk or gypsum mixed with animal glue) to create a smooth surface for the oil paint.
While the exact composition of Leonardo’s paints isn’t fully documented (as artists of the time often mixed their own), scientific analyses of the *Mona Lisa* (e.g., X-ray fluorescence and infrared reflectography conducted by the Louvre) confirm the use of traditional Renaissance pigments and oil-based mediums. Leonardo’s mastery lay in his innovative application, particularly his use of *sfumato* and glazing, which gave the painting its lifelike quality and enduring mystery.
If you’d like, I can search for more recent studies or posts on X about the *Mona Lisa*’s materials or provide details on how these techniques compare to other Renaissance works!</t>
  </si>
  <si>
    <t>The Mona Lisa was painted using **oil paint** on a **poplar wood panel**.
Leonardo da Vinci was a master of the oil medium, and he used it to great effect to create the painting's famous qualities. He also pioneered and perfected a technique called **sfumato**, which involves creating soft, hazy transitions between colors and tones. This allowed him to blur the outlines of the figure and give the Mona Lisa her enigmatic, "smoky" expression.
Recent scientific analysis has also revealed that Leonardo used a unique recipe for his paint, particularly in the base layers. Researchers found a rare compound called **plumbonacrite**, which suggests that he likely mixed lead oxide powder with his oil to create a thicker, faster-drying paint. This custom-made concoction allowed him to build up the thin, translucent layers necessary to achieve the subtle effects seen in the portrait.</t>
  </si>
  <si>
    <t>Intent Not Met</t>
  </si>
  <si>
    <t xml:space="preserve">The **Mona Lisa** by Leonardo da Vinci (painted c. 1503–1506, with later touch-ups) was created using **oil paint on a poplar wood panel**.
---
### Details of the materials:
* **Medium:** Oil paints, which Leonardo preferred in his later works. Oil allowed him to build up **thin, translucent layers (glazes)** to achieve his famous *sfumato* technique — soft, smoky transitions between light and shadow with no harsh outlines.
* **Surface:** A **poplar wood panel** (common in Italy at the time, since canvas had not yet become the standard).
* **Pigments:** Scientific analysis has identified pigments typical of Renaissance painting, such as:
  * **Lead white**
  * **Red ochre**
  * **Iron oxide yellows**
  * **Azurite (blue)**
  * **Verdigris (green)**
  * Some organic pigments (like lakes from plants or insects) for subtle tones
---
✅ **In short:** The Mona Lisa was painted with **oil paints on a poplar panel**, using natural mineral and organic pigments, layered with incredible subtlety to create lifelike depth and shading.
Would you like me to also describe **how Leonardo’s painting technique (sfumato)** made the Mona Lisa look so realistic compared to other portraits of the time?
</t>
  </si>
  <si>
    <t>The Mona Lisa was painted by Leonardo da Vinci using oil paint on a white poplar wooden panel. Recent scientific studies have revealed that Leonardo invented a unique chemical formula for the paint used in the Mona Lisa. This formula included lead(II) oxide (PbO), an orange pigment that he mixed with oil (likely linseed or walnut oil) to create a thick ground layer on the wooden panel. This ground layer contained not only lead white pigment and oil but also a rare lead compound called plumbonacrite, which formed from a chemical reaction between the lead oxide and oil. 
The use of lead oxide helped the paint dry more quickly and thickened the ground layer, making it ideal for Leonardo's famous sfumato technique, which creates smooth transitions between colors and tones. This paint mixture also provided a stable and durable surface for painting on wood, which naturally expands and contracts over time. The combination of these materials and techniques was innovative for Leonardo’s time and contributed to the painting’s renowned appearance and longevity.
[1](https://www.ndtv.com/feature/leonardo-da-vinci-invented-unique-chemical-formula-for-painting-mona-lisa-says-study-4473962)
[2](https://www.teravarna.com/post/secret-compound-leonardo-da-vinci-used-for-mona-lisa)
[3](https://www.chemistryworld.com/news/chemists-discover-new-leadii-oxide-pigments-in-the-mona-lisa-and-the-last-supper/4018261.article)
[4](https://www.acs.org/pressroom/presspacs/2023/october/mona-lisa-hides-a-surprising-mix-of-toxic-pigments.html)
[5](https://edition.cnn.com/2023/10/16/style/mona-lisa-leonardo-da-vinci-experimental-paint-technique-scn)
[6](https://monalisa.org/2012/09/08/leonardos-materials-the-canvas-the-paint/)
[7](https://www.esrf.fr/home/news/general/content-news/general/scientists-uncover-a-rare-component-in-da-vinci-s-mona-lisa-paint.html)
[8](https://en.wikipedia.org/wiki/Mona_Lisa)
[9](https://lorimcnee.com/how-leonardo-da-vinci-used-sacred-geometry-in-painting-the-mona-lisa/)
[10](https://axial.acs.org/materials-science/age-old-chemistry-the-mona-lisa)</t>
  </si>
  <si>
    <t>The Mona Lisa was painted with **oil paints** on a **poplar wood panel**.
**Oil Paint Details:**
- Leonardo da Vinci used oil-based pigments, which was becoming the preferred medium for Renaissance artists
- Oil paints allowed for smooth blending, subtle gradations of color and tone, and fine detail work
- They dried slowly, giving Leonardo time to work and rework sections - perfect for his meticulous technique
**Specific Techniques:**
- **Sfumato** - Leonardo's signature technique of subtle gradations and soft transitions between colors and tones, particularly visible in the subject's face
- **Glazing** - Multiple thin, transparent layers of paint built up over time
- **Underpainting** - He likely started with an underpainting in earth tones before adding color layers
**The Support:**
- Painted on a poplar wood panel rather than canvas
- The wood was prepared with a ground layer (likely gesso) to create a smooth painting surface
- Poplar was commonly used by Italian Renaissance artists
**Pigments Used:**
Based on analysis, Leonardo used various pigments including:
- Ultramarine (for blues, made from lapis lazuli - very expensive)
- Vermillion (for reds)
- Yellow ochre and other earth pigments
- Lead white (for highlights and mixing)
**Time Period:**
The painting was created between approximately 1503-1519, during the height of the Renaissance when oil painting techniques were being refined and perfected.
The combination of oil paints and Leonardo's masterful technique is what gives the Mona Lisa its luminous quality, subtle modeling, and the mysterious expression that has captivated viewers for centuries.</t>
  </si>
  <si>
    <t>Who is Zdzisław Beksiński?</t>
  </si>
  <si>
    <t>Zdzisław Beksiński (pronounced [ˈzd͡ʑiswaf bɛkˈɕiɲskʲi]) was a renowned Polish painter, photographer, and sculptor, best known for his dystopian surrealist works that evoke nightmarish visions of decay, death, and existential dread. Born on February 24, 1929, in Sanok, southern Poland, he initially studied architecture at Kraków Polytechnic, graduating in 1952, but soon shifted to visual arts, where he gained international acclaim for his haunting, otherworldly style.
### Artistic Style and Periods
Beksiński described his paintings and drawings as executed in a "Baroque" or "Gothic" manner, blending surrealism with dystopian elements. His oeuvre divides into two main periods:
- **First Period (1950s–1970s)**: Characterized by expressionistic colors, "utopian realism," and surreal architecture—often featuring biomechanical forms, skeletal figures, and apocalyptic landscapes that blend organic and mechanical horror.
- **Second Period (1980s onward)**: More abstract and formalist, with muted tones, intricate details, and a focus on form over narrative, yet retaining an eerie, dreamlike quality.
He famously refused to title his works, stating, "I wish to paint in such a manner as if I were photographing dreams," and avoided interpreting them, allowing viewers to form their own associations. His art draws comparisons to H.R. Giger or Francis Bacon, often exploring themes of mortality and the subconscious without overt symbolism. Beksiński also experimented with photography in his early career, creating provocative, rule-breaking images that stirred controversy.
### Life and Legacy
A reclusive artist, Beksiński spent much of his life in routine isolation, creating at home while listening to classical music for inspiration. He never attended his own exhibitions and focused intensely on production, amassing thousands of pieces. Tragically, he was stabbed to death in his Warsaw apartment on February 21, 2005, at age 75, by a 19-year-old acquaintance who demanded money and was later imprisoned.
His works are housed in major collections, including the Historical Museum in Sanok (which holds copyrights) and the Zdzisław Beksiński Museum in Częstochowa, opened in 2006. Recent projects, like the 2023 online Zdzisław Beksiński Art Promotion Archive, continue to digitize and promote his legacy. Publications such as the four-volume *Beksiński* series highlight his archive photos and rarely seen drawings, cementing his influence on horror art and surrealism.
Beksiński's art remains spellbinding, capturing the "unsettling underside of human consciousness" and reminding viewers of life's darker facets.</t>
  </si>
  <si>
    <t>Zdzisław Beksiński was a Polish painter, photographer, and sculptor known for his unique style of dystopian surrealism. Born in Sanok, Poland, in 1929, he lived through the Second World War and the subsequent communist era in Poland.
Beksiński's artistic career can be divided into several periods, but he is most famous for his "fantastic period" from the late 1960s to the mid-1980s. During this time, he created highly detailed, disturbing images of nightmarish landscapes, deformed figures, and scenes of death and decay. Despite the dark themes, Beksiński claimed his works were often misunderstood and could be seen as optimistic or humorous. He never gave titles to his paintings and was not interested in providing explanations for their meaning, preferring to let viewers interpret them on their own.
Although he had no formal training in art, he was a graduate of the Faculty of Architecture at the Kraków Polytechnic. He was a prolific artist, and his preferred medium was oil paint on hardboard panels.
Beksiński's personal life was marked by tragedy. His wife died in 1998, and his son, Tomasz, committed suicide a year later. In 2005, at the age of 75, Beksiński was murdered in his apartment in Warsaw after refusing to lend money to a 19-year-old acquaintance.</t>
  </si>
  <si>
    <t xml:space="preserve">Zdzisław Beksiński (1929–2005) was a **Polish painter, photographer, and sculptor**, best known for his dark, surreal, and often nightmarish imagery.
---
### About Him:
* **Early life:** Born in Sanok, Poland. Trained as an architect but soon shifted to art.
* **Style:** His works are often described as **dystopian surrealism** or **fantastic realism**.
  * He created haunting, dreamlike landscapes filled with skeletal figures, decaying structures, and otherworldly forms.
  * Despite the disturbing content, his technique was very detailed and precise.
* **Approach:**
  * He never titled his works, believing titles would limit interpretation.
  * He disliked analyzing or explaining his art, saying the images should “speak for themselves.”
* **Mediums:**
  * 1950s–60s: Photography and sculpture.
  * 1970s–80s: Oil painting (his most famous works).
  * Later: Digital art and computer graphics.
---
### Personal Life and Tragedy:
* His wife died in 1998, and his only son, Tomasz (a well-known radio presenter and music journalist), died by suicide in 1999.
* In 2005, Beksiński was murdered in his Warsaw apartment by the teenage son of his caretaker after refusing to lend him money.
---
### Legacy:
* Beksiński is considered one of Poland’s greatest contemporary artists.
* His works influenced album covers, video games, films, and horror/fantasy art worldwide.
* The **Historical Museum in Sanok** holds the largest collection of his works.
---
✅ In short: **Zdzisław Beksiński was a Polish artist who created unsettling but mesmerizing surreal worlds — visions of beauty and horror blended — leaving behind one of the most striking bodies of work in 20th-century art.**
Would you like me to also show you an example of his **art style** (a description of recurring themes and imagery in his paintings)?
</t>
  </si>
  <si>
    <t>Zdzisław Beksiński was a Polish painter, photographer, and sculptor born on February 24, 1929, in Sanok, southern Poland. He specialized in dystopian surrealism, creating disturbing, surreal images often depicting death, decay, skeletal figures, and desolate landscapes. Beksiński called his style either Baroque or Gothic, and his works included two main periods: an early expressionistic phase with surreal architecture and a later more abstract formalistic phase.
He studied architecture at Kraków Polytechnic, graduating in 1952, and initially worked as a construction supervisor before dedicating himself fully to art. Beksiński produced mainly oil paintings on hardboard panels, also experimenting with acrylics and later digital photomontage. His art is known for its eerie, dreamlike atmosphere, and although his subjects appeared grim, he sometimes described his works as optimistic or humorous. He refused to title or explain his works, preferring the viewers to interpret them freely.
Beksiński was a leading figure in contemporary Polish art and maintained a solitary, independent artistic path, largely indifferent to contemporary trends. He passed away tragically in 2005 after being murdered in his Warsaw apartment. His work remains influential, displayed in several museums including the Sanok Museum of Art.
[1](https://en.wikipedia.org/wiki/Zdzis%C5%82aw_Beksi%C5%84ski)
[2](https://www.beksinskiarchiwum.net/archiwum1/publistyka_medialna_dotyczaca_beksinskiego/teksty_napisane_o_beksinskim_w_jezykach_obcych/english/banach_artistic_road_of_zdzislaw_beksinski.pdf)
[3](https://www.thecollector.com/zdzislaw-beksinski-the-dystopian-surrealist-painter-you-should-know/)
[4](https://muzeum.sanok.pl/en/zbiory/zdzislaw-beksinski)
[5](https://www.youtube.com/watch?v=5DZttJ2hkyI)
[6](https://morpheusgallery.com/Zdzislaw+Beksinski/biography.php)
[7](https://culture.pl/en/artist/zdzislaw-beksinski)
[8](https://www.dailyartmagazine.com/the-dystopian-surrealism-of-zdzislaw-beksinski/)
[9](https://studioq.com/blog/2024/11/8/zdzislaw-beksinski-polish-horror-painter-and-photographer)</t>
  </si>
  <si>
    <t>Zdzisław Beksiński (1929-2005) was a renowned Polish painter, photographer, and graphic artist, best known for his surreal and fantastical paintings that blend beauty with horror.
**Artistic Style:**
Beksiński's work is characterized by:
- **Dark surrealism** - Nightmarish yet beautiful imagery
- **Fantastic realism** - Detailed, realistic technique applied to impossible worlds
- **Recurring themes** - Death, decay, skeletal figures, apocalyptic landscapes, and mysterious architectural forms
- **Rich textures and colors** - Often using warm golds, oranges, and browns contrasted with cooler tones
**Career Phases:**
**Early Period (1960s-1970s):**
- Started with abstract and semi-abstract works
- Experimented with photography and photomontage
- Gradually developed his signature fantastic style
**"Fantastic Period" (1970s-1980s):**
- His most famous and celebrated works
- Created haunting paintings of otherworldly beings, twisted landscapes, and surreal architecture
- Combined meticulous technical skill with deeply imaginative subject matter
**Later Period (1990s-2000s):**
- Shifted toward more abstract, colorful compositions
- Moved away from figurative fantastic imagery
**Personal Characteristics:**
- Reclusive personality, rarely gave interviews
- Preferred not to title his works or explain their meaning
- Said he painted his "visions" and dreams
- Lived most of his life in Poland, rarely traveling abroad
**Tragic End:**
Beksiński was murdered in 2005 in Warsaw by the teenage son of his caretaker, apparently over a dispute about money - a shocking end for the artist who had depicted so much darkness in his work.
**Legacy:**
His fantastic paintings have gained international recognition and continue to influence contemporary fantasy and horror art. His work is held in museums worldwide and has inspired countless artists, filmmakers, and writers working in dark fantasy genres.</t>
  </si>
  <si>
    <t>Was William Shakespeare bisexual?</t>
  </si>
  <si>
    <t>The question of William Shakespeare’s sexuality, including whether he was bisexual, has been debated by scholars and enthusiasts for centuries, but there’s no definitive evidence to confirm or refute it. The discussion hinges on interpretations of his works, particularly his sonnets, and the limited historical records of his personal life. Here’s a concise breakdown of the key points:
### Evidence Suggesting Bisexuality
- **Sonnets and the "Fair Youth"**: Shakespeare’s 154 sonnets, published in 1609, include a sequence (Sonnets 1–126) addressed to a young man, often called the "Fair Youth." These poems express deep affection, admiration, and possibly romantic love. For example, Sonnet 18 ("Shall I compare thee to a summer’s day?") and Sonnet 20 ("A woman’s face with Nature’s own hand painted") use intimate language that some interpret as homoerotic. Sonnet 20, in particular, describes the youth’s beauty in terms that blur gender lines, though it also suggests physical attraction without consummation.
- **Cultural Context**: In Elizabethan England, intense male friendships were common and often expressed in romantic terms without necessarily implying sexual relationships. However, some modern scholars argue that Shakespeare’s language in the sonnets exceeds platonic norms, suggesting possible bisexual leanings.
- **The "Dark Lady" Sonnets**: Sonnets 127–154 address a woman, the "Dark Lady," with overtly sexual and passionate language (e.g., Sonnet 130, "My mistress’ eyes are nothing like the sun"). This indicates strong heterosexual desire, which, combined with the Fair Youth sonnets, leads some to speculate about bisexuality.
### Counterarguments
- **Lack of Historical Evidence**: No contemporary records, letters, or testimonies explicitly describe Shakespeare’s sexual orientation. His personal life is sparsely documented, and much of what we know comes from legal records, not intimate details. He was married to Anne Hathaway, with whom he had three children, but this doesn’t preclude bisexuality.
- **Literary Interpretation vs. Biography**: The sonnets are poetic works, not necessarily autobiographical. Shakespeare may have been adopting personas or exploring universal themes of love, beauty, and desire, rather than confessing personal feelings. The homoerotic tone could reflect literary conventions, like those in classical Greek poetry or Petrarchan sonnets.
- **Elizabethan Norms**: Homosexuality was illegal and stigmatized in 16th-century England, punishable by death, so any explicit evidence would likely have been suppressed. The romantic language in male friendships was socially acceptable and not always sexual.
### Scholarly Views
- Some scholars, like Jonathan Bate and Stanley Wells, argue that the sonnets suggest Shakespeare explored same-sex desire, at least poetically, and that bisexuality is a plausible reading given the era’s fluid expressions of affection.
- Others, like Katherine Duncan-Jones, caution against projecting modern sexual categories onto Shakespeare, noting that "bisexuality" as a concept didn’t exist in his time. They emphasize the sonnets’ artistic ambiguity over biographical claims.
- Recent discussions on platforms like X show ongoing interest, with some users citing the sonnets’ language as evidence of Shakespeare’s fluid sexuality, while others dismiss it as speculative overreach.
### Conclusion
There’s no conclusive proof that Shakespeare was bisexual, as we lack direct evidence of his personal desires. The sonnets provide compelling hints of affection toward both a man and a woman, but these are literary works open to interpretation. Applying modern labels like "bisexual" to a 16th-century figure is tricky, as cultural understandings of sexuality differ. Ultimately, Shakespeare’s genius lies in his ability to evoke universal emotions, leaving his personal life a mystery.
If you’d like, I can search X for recent discussions on this topic or analyze specific sonnets for deeper context!</t>
  </si>
  <si>
    <t>Scholars have long debated William Shakespeare's sexuality, with some arguing he was bisexual based on the content of his sonnets. While there's no definitive proof, the evidence from his work points to attractions to both men and women.
### **Evidence from the Sonnets**
Shakespeare's sonnets are the primary source for this discussion. They are divided into two main groups, each addressed to a different person.
* **The "Fair Youth" Sonnets:** Sonnets 1-126 are addressed to a young, beautiful man (often referred to as the "Fair Youth"). The language in these poems is intensely passionate, romantic, and deeply affectionate, with some scholars interpreting it as explicitly homoerotic. For example, in Sonnet 20, the narrator refers to the youth as "the master-mistress of my passion."
* **The "Dark Lady" Sonnets:** Sonnets 127-152 are addressed to a married woman with dark features (the "Dark Lady"). The language in this series is more overtly sexual and complex, expressing a love-hate relationship filled with jealousy and lust.
The existence of these two distinct and passionate series of love poems, one to a man and one to a woman, has led many to conclude that Shakespeare was attracted to both genders.
***
### **Counterarguments and Context**
It's important to consider the historical context of the time. While the sonnets suggest these relationships, some scholars argue that the intense, affectionate language used in the "Fair Youth" sonnets may have been a convention of the time for expressing deep, platonic friendships between men. However, the explicit and sometimes bawdy language in some of the sonnets makes this argument difficult to maintain for many modern scholars.
Additionally, Shakespeare was married to **Anne Hathaway** and had three children with her, which confirms his attraction to women. However, his marriage doesn't preclude the possibility of his bisexuality. Ultimately, with the limited historical information available, we can't say with absolute certainty, but the literary evidence in his own work strongly suggests that his attractions were not limited to one gender.</t>
  </si>
  <si>
    <t xml:space="preserve">We don’t know for certain, but it’s a question scholars often explore because of Shakespeare’s **personal life** and the **themes in his writing**.
---
### What we know about his life
* Shakespeare married **Anne Hathaway** in 1582, and they had three children.
* He spent long stretches away from his family in Stratford while working in London.
* There’s no direct evidence (letters, diaries, etc.) about his sexual orientation.
---
### The Sonnets and the “Fair Youth”
* Shakespeare’s **154 sonnets** were published in 1609.
* **Sonnets 1–126** are addressed to a beautiful young man (often called the “Fair Youth”). Many of these express deep affection, admiration, even desire.
* **Sonnets 127–154** are addressed to the “Dark Lady,” a woman with whom the poet has a complex, passionate relationship.
* This mix has led some scholars to suggest Shakespeare may have been attracted to both men and women.
---
### Interpreting the evidence
* In Elizabethan England, expressions of love or admiration between men could be more emotionally intense than modern norms — not always implying sexuality.
* Still, the passionate tone in some sonnets to the Fair Youth goes beyond ordinary friendship, at least by modern readings.
---
### Scholarly consensus
* There’s **no proof** Shakespeare was bisexual (or gay or straight, strictly speaking).
* The strongest evidence comes from the **Sonnets**, which leave the question open.
* So, many historians say it’s fair to describe Shakespeare’s sexuality as **ambiguous**.
---
✅ In short: We can’t know Shakespeare’s orientation for certain, but the **Sonnets** suggest he may have felt love or desire for both men and women — so it’s possible he was bisexual, though unprovable.
Would you like me to share a couple of the **specific sonnets** scholars point to when making this argument?
</t>
  </si>
  <si>
    <t>William Shakespeare is widely believed to have been bisexual based on interpretations of his sonnets. His 154 sonnets include many addressed to a young man, known as the "Fair Youth," expressing deep affection and desire, while others are addressed to the "Dark Lady," a woman he appears to have had a passionate relationship with. Scholars have highlighted sonnets that convey romantic and sexual feelings toward both men and women. However, there is no definitive historical proof of Shakespeare's personal sexual relationships, and some argue the sonnets may be fictional or metaphorical rather than autobiographical. Nevertheless, the language and themes in his sonnets provide strong evidence that Shakespeare experienced attraction to both genders.[1][2][3][4]
[1](https://www.the-independent.com/arts-entertainment/books/news/shakespeare-bisexual-sexuality-evidence-plays-a9684056.html)
[2](https://en.wikipedia.org/wiki/Sexuality_of_William_Shakespeare)
[3](https://www.sparknotes.com/shakespeare/life-and-times/shakespeares-sexuality/)
[4](https://www.shakespeare.org.uk/explore-shakespeare/podcasts/lets-talk-shakespeare/was-shakespeare-gay/)
[5](https://shakespeareoxfordfellowship.org/shakespeares-sexuality-affects-authorship-issue/)
[6](https://www.reddit.com/r/shakespeare/comments/xbv3v1/was_shakespeare_really_bisexual/)
[7](https://www.shakespearesglobe.com/discover/blogs-and-features/2019/02/01/was-shakespeare-gay/)
[8](https://www.britannica.com/biography/William-Shakespeare/Sexuality)
[9](https://aeon.co/essays/shakespeares-sexuality-in-question-who-was-the-fair-youth)</t>
  </si>
  <si>
    <t>The question of Shakespeare's sexuality has been debated by scholars for centuries, but there's **no definitive evidence** to confirm whether he was bisexual, heterosexual, or had any other sexual orientation.
**What We Know:**
- **Marriage**: Shakespeare married Anne Hathaway in 1582 and had three children with her
- **Limited biographical records**: Very few personal details about Shakespeare's private life survive
- **No direct statements**: Shakespeare never wrote about his own sexuality in letters, diaries, or other personal documents
**The Scholarly Debate Centers On:**
**The Sonnets (published 1609):**
- Sonnets 1-126 are addressed to a "Fair Youth" (a young man)
- Sonnets 127-154 concern a "Dark Lady"
- Some sonnets to the young man contain language that could be interpreted as romantic or erotic
- However, Renaissance friendship poetry often used passionate language that wouldn't necessarily indicate sexual attraction today
**Different Interpretations:**
- **Some scholars** argue the sonnets suggest romantic relationships with both men and women
- **Others** contend they reflect intense but platonic friendships, typical of Renaissance literary conventions
- **Many** emphasize that the sonnets are literary works, not necessarily autobiographical
**Historical Context:**
- Renaissance concepts of sexuality, friendship, and love were different from modern categories
- Literary conventions of the time often involved passionate language between male friends
- Same-sex relationships existed but were rarely documented due to social and legal constraints
**Current Academic Consensus:**
Most Shakespeare scholars today acknowledge that his sexuality remains unknowable based on available evidence. The debate continues, but it's essentially unanswerable given the limited biographical material and the distance of 400+ years.
The focus has largely shifted to studying his works rather than speculating about his personal life.</t>
  </si>
  <si>
    <t xml:space="preserve">What was the significance of cats in Egypt? </t>
  </si>
  <si>
    <t>Cats held profound significance in ancient Egyptian society, revered for both practical and spiritual reasons. Their importance spanned religion, daily life, and cultural symbolism, particularly from the Old Kingdom (c. 2686–2181 BCE) through the Ptolemaic period (305–30 BCE), during which figures like Cleopatra VII ruled. Here’s a concise overview of their significance:
### 1. **Religious and Spiritual Importance**
- **Association with Deities**: Cats were sacred to **Bastet** (or Bast), the goddess of protection, fertility, motherhood, and pleasure. Initially a lioness deity, Bastet evolved into a cat-headed goddess by the Middle Kingdom (c. 2055–1650 BCE). Temples dedicated to Bastet, especially in Bubastis, housed cats and attracted worshippers. Cats symbolized her nurturing yet protective nature.
- **Divine Symbolism**: Cats were seen as embodiments of divine qualities, such as grace, agility, and vigilance. Killing a cat, even accidentally, was a grave offense, sometimes punishable by death, reflecting their sacred status.
- **Afterlife Beliefs**: Cats were believed to offer spiritual protection. Mummified cats were offered at temples or buried with owners to guard them in the afterlife, with thousands found in catacombs at sites like Bubastis and Saqqara.
### 2. **Practical Role**
- **Pest Control**: Cats were valued for hunting rodents and snakes, protecting granaries and homes from pests that threatened food supplies and spread disease. This practical role elevated their status, as agriculture was central to Egypt’s economy.
- **Household Companions**: By the New Kingdom (c. 1550–1070 BCE), cats were domesticated and kept as pets. Artworks, like tomb paintings, show cats lounging under chairs or wearing collars, indicating affection and status in households.
### 3. **Cultural and Artistic Depictions**
- **Iconography**: Cats appeared in art, jewelry, and amulets, often symbolizing protection or fertility. Statues of cats, sometimes adorned with earrings, were common offerings to Bastet.
- **Feline Imagery in Royalty**: During the Ptolemaic period, rulers like Cleopatra leveraged Egypt’s feline reverence to strengthen their legitimacy. Cleopatra, as a Ptolemaic queen of Greek descent (as discussed earlier), presented herself as a living embodiment of deities like Isis, who was sometimes linked to Bastet, reinforcing her divine authority.
- **Literature and Stories**: Cats featured in myths and stories, often as protectors or symbols of cunning. Their mystique persisted in Egyptian folklore.
### 4. **Social and Legal Status**
- **Protection Laws**: By the Late Period (c. 664–332 BCE), laws protected cats, and their export was restricted to preserve their sacred presence in Egypt. Foreign accounts, like those from Greek historian Herodotus, note the Egyptians’ intense devotion, with families mourning and shaving their eyebrows upon a cat’s death.
- **Cat Cemeteries**: Mass mummification of cats, especially in Bubastis, reflects their cultural importance. These were not just pets but votive offerings, bred in temple catteries for religious purposes.
### Historical Context
The reverence for cats peaked during the Late and Ptolemaic periods, when Egypt’s economy and religion became more intertwined with Hellenistic influences. The cult of Bastet grew, partly as a way to unify native Egyptian and Greek populations under Ptolemaic rule. Cats, as symbols of Bastet, bridged cultural divides, appealing to both groups.
### Modern Perspective
Recent discussions on platforms like X highlight Egypt’s cat worship as a unique cultural trait, often romanticized in memes or posts about ancient Egypt’s “cat obsession.” Archaeological finds, like the 2018 discovery of cat mummies in Saqqara, continue to underscore their significance. Some modern scholars argue the reverence for cats also reflected Egypt’s ecological awareness, valuing animals that supported agricultural stability.
In summary, cats in ancient Egypt were more than pets—they were divine protectors, economic assets, and cultural icons, embodying the interplay of spirituality and practicality in Egyptian life. If you’d like, I can search for recent X posts or archaeological findings on this topic for more insights!</t>
  </si>
  <si>
    <t>Cats held immense significance in ancient Egypt, serving as crucial protectors, beloved pets, and powerful religious symbols. Their importance was so great that harming or killing a cat, even accidentally, was considered a capital offense.
### 1. Practical Importance
The initial reverence for cats was rooted in their practical value. Ancient Egypt's economy and survival depended on agriculture, and cats were essential for protecting the grain supply.
* **Pest Control:** Cats were expert hunters of vermin, such as mice and rats, which would have otherwise destroyed crops stored in granaries.
* **Protection from Snakes:** They also hunted venomous snakes, particularly cobras, providing a vital layer of protection for Egyptian homes and families.
Their skills as hunters made them indispensable to daily life and ensured the stability of the food supply, earning them a place of honor in Egyptian society.
### 2. Religious and Divine Symbolism
Over time, cats came to represent powerful deities and were considered vessels for divine energy.
* **The Goddess Bastet:** The most famous association is with the goddess **Bastet**, who was originally a fierce lioness deity but evolved to be depicted with the head of a domestic cat. She was revered as the goddess of protection, fertility, motherhood, and the home. Egyptians believed that by honoring cats, they were honoring Bastet and invoking her protection.
* **Other Deities:** Cats were also associated with other gods, including the sun god Ra, who in one myth, took the form of a cat to fight the serpent of chaos, Apep. The feline's dual nature—combining a gentle, protective side with a fierce, predatory one—perfectly mirrored the Egyptian understanding of their gods.
### 3. Cultural Practices
The high status of cats was reflected in many aspects of Egyptian culture:
* **Mummification:** When a beloved cat died, it was often mummified with great care, sometimes with an elaborate sarcophagus, and buried in cemeteries dedicated to cats or even with their owners. This practice was believed to allow the cat to join its human family in the afterlife.
* **Mourning Rituals:** According to the historian Herodotus, if a family's pet cat died, all the members of the household would shave off their eyebrows as a sign of mourning.
* **Offerings:** Thousands of cat mummies were sold to pilgrims as offerings to Bastet, especially in the city of Bubastis, the center of her cult. This was a thriving industry that underscored the cat's economic and religious importance.
* **Art and Jewelry:** Cats were a popular motif in Egyptian art, jewelry, and amulets. They were often shown in paintings and reliefs, sitting under the chairs of their owners, symbolizing their status as cherished family members and guardians of the home.</t>
  </si>
  <si>
    <t xml:space="preserve">Cats held **special cultural, religious, and practical importance** in ancient Egypt. 🐈
---
### 1. **Practical Role**
* Cats were skilled hunters, especially of mice, rats, and snakes.
* By protecting food stores and homes from pests, they became highly valued household companions.
---
### 2. **Religious &amp; Symbolic Role**
* Cats were linked to **divine protection, fertility, and motherhood**.
* The goddess **Bastet (or Bast)** — often shown as a lioness or a woman with a cat’s head — was associated with:
  * Home, family, and fertility
  * Joy, music, and love
  * Protection against evil spirits and disease
* Killing a cat, even accidentally, was considered a serious crime in many periods of Egyptian history.
---
### 3. **In Daily Life &amp; Afterlife**
* Cats appear in Egyptian art, shown sitting under chairs, playing, or hunting.
* Wealthy families sometimes adorned cats with jewelry.
* Many cats were **mummified** and placed in tombs, either as beloved pets or as offerings to the gods.
---
### 4. **Wider Influence**
* Egyptians valued cats so highly that they were exported (sometimes secretly, since officials tried to keep them within Egypt).
* Over time, cats spread throughout the Mediterranean world, partly thanks to Egyptian reverence for them.
---
✅ **In summary:** In ancient Egypt, cats were not just pets — they were **protectors, sacred animals, and symbols of divine power**. Their mix of practical usefulness and spiritual significance made them central to Egyptian culture.
Would you like me to also explain the **connection between Bastet and Sekhmet**, the two lion/cat goddesses?
</t>
  </si>
  <si>
    <t>Cats held great significance in ancient Egypt, both practically and spiritually. Egyptians valued cats primarily for their ability to protect homes and granaries by killing venomous snakes, rodents, and birds that damaged crops. This practical role made cats essential to the agrarian economy and helped protect valuable food resources.[1][3][5]
Spiritually, cats were associated with several important deities. The goddess Bastet, often depicted as a woman with a cat's head, symbolized protection, fertility, health, and the home. Cats were seen as embodying these qualities and were revered for their graceful yet fierce nature. Other feline deities included Sekhmet, a lion-headed goddess representing war and power, and Mafdet, associated with justice and execution. Although cats themselves were not worshipped as gods, they were considered sacred animals connected to these divine beings.[3][4][1]
Cats were cherished companions and buried with reverence. When a family cat died, Egyptians mourned strongly, sometimes shaving off their eyebrows. Cats were also mummified and buried in cat cemeteries, highlighting their importance both in life and the afterlife. Killing a cat, even accidentally, was a grave crime punishable by death, reflecting their high status in society.[2][5][1][3]
In summary, cats in ancient Egypt were vital protectors of households and crops, symbolic links to powerful goddesses, and beloved companions treated with great respect and reverence.
[1](https://www.bsmpartners.net/insights/the-role-of-cats-in-ancient-egypt/)
[2](https://kids.nationalgeographic.com/pages/article/cats-rule-in-ancient-egypt)
[3](https://en.wikipedia.org/wiki/Cats_in_ancient_Egypt)
[4](https://arce.org/resource/cats-bastet-and-worship-feline-gods/)
[5](https://blogs.ucl.ac.uk/researchers-in-museums/2018/04/17/why-did-ancient-egyptians-love-cats/)
[6](https://www.historyhit.com/cats-and-crocodiles-why-did-ancient-egyptians-worship-them/)
[7](https://www.reddit.com/r/AskHistorians/comments/1ua42a/in_ancient_egypt_they_worshipped_cats_what_was/)
[8](https://www.youtube.com/watch?v=74yeRmR2orw)
[9](https://egyptianmuseum.org/deities-Bastet)</t>
  </si>
  <si>
    <t>Cats held profound religious, practical, and cultural significance in ancient Egypt, becoming one of the most revered animals in Egyptian civilization.
**Religious Significance:**
**Bastet (Bast)**
- The most important cat deity, originally depicted as a lioness, later as a domestic cat
- Goddess of protection, fertility, motherhood, and domestic harmony
- Her cult center was in Bubastis, where massive festivals were held in her honor
- Thousands of pilgrims would travel to worship her annually
**Other Cat Deities:**
- **Sekhmet** - Lioness goddess of war and healing
- **Tefnut** - Lioness goddess associated with moisture and the eye of Ra
- Cats were also associated with the sun god Ra and moon deities
**Practical Importance:**
- **Pest control** - Cats protected grain stores from mice and rats, crucial for Egypt's agricultural economy
- **Snake protection** - Cats killed venomous snakes, particularly cobras
- **Disease prevention** - By controlling rodent populations, cats helped prevent plague and other diseases
**Cultural Status:**
- **Sacred animals** - Killing a cat, even accidentally, could result in death penalty
- **Family members** - Cats lived as beloved pets in Egyptian homes
- **Mourning rituals** - When a family cat died, household members would shave their eyebrows in mourning
- **Mummification** - Cats were mummified and buried with elaborate ceremonies, sometimes with mummified mice for the afterlife
**Archaeological Evidence:**
- **Cat cemeteries** - Massive burial sites containing hundreds of thousands of mummified cats
- **Art and artifacts** - Cats appear frequently in Egyptian paintings, sculptures, and jewelry
- **The Gayer-Anderson Cat** - Famous bronze statue from around 600 BCE, now in the British Museum
**Economic Impact:**
- **Export restrictions** - Egypt tried to prevent cats from being exported to maintain their advantage in pest control
- **Breeding programs** - Temples bred cats specifically for religious purposes
**Legacy:**
The Egyptian reverence for cats influenced their spread throughout the Mediterranean world and contributed to the domestic cat's development. This sacred status helps explain why cats maintained a special place in human society long after ancient Egypt fell.
The relationship between Egyptians and cats was so integral that it shaped both species - cats became more domesticated, while Egyptian society developed elaborate religious and cultural practices around them.</t>
  </si>
  <si>
    <t>What does Orphism mean in art?</t>
  </si>
  <si>
    <t>Orphism (or Orphic Cubism) is an early 20th-century art movement that emerged around 1911–1914, primarily associated with French painters like **Robert Delaunay**, **Sonia Delaunay**, and **František Kupka**, among others. It represents a branch of **Cubism** that emphasized vibrant color, abstraction, and a lyrical, almost mystical quality inspired by music, light, and rhythm. The term "Orphism" was coined by the poet **Guillaume Apollinaire** in 1912, drawing from the mythological figure **Orpheus**, whose music could enchant and harmonize nature, suggesting a parallel to the movement’s harmonious use of color and form.
### Key Characteristics of Orphism
1. **Vibrant Color and Light**:
   - Orphists prioritized bold, saturated colors and dynamic contrasts over the muted, monochromatic palettes of early Cubism (e.g., Picasso’s and Braque’s work). They drew inspiration from the scientific study of color theory, particularly **Michel-Eugène Chevreul’s** ideas on simultaneous contrast.
   - Artists like Robert Delaunay explored the interplay of colors to evoke light and movement, as seen in his *Simultaneous Windows* series, where overlapping color planes suggest prismatic effects.
2. **Abstraction**:
   - Orphism moved further toward abstraction than traditional Cubism, often abandoning recognizable subject matter. Instead, it focused on pure form, color, and rhythm to create emotional or spiritual resonance.
   - Works like Kupka’s *Amorpha, Fugue in Two Colors* (1912) use flowing, curvilinear shapes to evoke musical rhythms, resembling a visual symphony.
3. **Musical and Poetic Inspiration**:
   - The movement was deeply influenced by music’s structure and emotional power. Artists sought to translate rhythm, harmony, and tempo into visual art, akin to a "visual music."
   - The name "Orphism" reflects this, invoking Orpheus’s lyrical and transformative art, suggesting a spiritual or cosmic connection.
4. **Dynamic Composition**:
   - Orphist works often feature circular or curvilinear forms, spirals, and overlapping planes to convey movement and energy. Robert Delaunay’s *Circular Forms* and Sonia Delaunay’s textile designs exemplify this dynamic approach.
   - The compositions often feel fluid and organic, contrasting with the angular fragmentation of Cubism.
### Historical Context and Influences
- **Cubism’s Evolution**: Orphism grew out of Cubism’s analytical phase but rejected its focus on static, fragmented forms. It shared Cubism’s interest in breaking down objects but emphasized emotional and sensory experiences through color and abstraction.
- **Scientific and Philosophical Roots**: Orphists were influenced by contemporary discoveries in optics and physics, particularly how light and color interact. They also drew from Symbolism’s interest in mysticism and the inner experience.
- **Key Figures**:
  - **Robert Delaunay**: His *Simultaneous Contrasts* and *Sun, Tower, Airplane* works explore color as a dynamic force, inspired by Parisian modernity and the Eiffel Tower’s symbolism.
  - **Sonia Delaunay**: Extended Orphism into textiles, fashion, and design, creating vibrant, rhythmic patterns.
  - **František Kupka**: Pioneered pure abstraction, with works like *Disks of Newton* reflecting color theory and spiritual themes.
  - Other associated artists include **Francis Picabia**, **Marcel Duchamp**, and **Fernand Léger**, though their involvement was less central.
### Significance and Legacy
- **Bridge to Abstract Art**: Orphism was a crucial step toward fully non-representational art, influencing movements like **Abstract Expressionism**, **Futurism**, and **Synchromism** (a related American movement by Morgan Russell and Stanton Macdonald-Wright).
- **Cross-Disciplinary Impact**: Its emphasis on color and rhythm inspired not just painting but also design, fashion, and later abstract art. Sonia Delaunay’s work, for instance, revolutionized textile art.
- **Modern Recognition**: Orphism is seen as a vibrant, optimistic counterpoint to Cubism’s austerity. Exhibitions, like those at the Musée d’Orsay or MoMA, continue to highlight its role in early modernism. Recent posts on X often describe Orphism as a “colorful rebellion” against Cubism’s constraints, emphasizing its joyful, experimental spirit.
In summary, Orphism is a short-lived but influential movement that used vibrant color, abstract forms, and musical inspiration to create a lyrical, almost spiritual form of Cubism. It celebrated light, movement, and harmony, leaving a lasting mark on the path to modern abstraction. If you’d like, I can search X for recent discussions on Orphism or provide images of key works (though I’d need your confirmation to generate visuals)!</t>
  </si>
  <si>
    <t>Orphism was an early 20th-century art movement that was an offshoot of Cubism. Unlike Cubism, which often used a muted, almost monochromatic color palette to focus on form and structure, Orphism embraced **vibrant colors and pure abstraction**. The term was coined by the French poet Guillaume Apollinaire in 1912, who named the movement after Orpheus, the legendary Greek musician and poet. This name highlights one of the movement's key goals: to bring the musical qualities of harmony, rhythm, and lyrical abstraction to painting.
---
### **Key Characteristics**
* **Emphasis on Color**: Orphists believed that color was a powerful aesthetic element in itself and could create emotion and meaning without needing to represent a specific object. They used principles of color theory, such as the **simultaneous contrast** of colors, to create a sense of movement and energy.
* **Abstraction**: While many Orphist works began with a recognizable subject, they quickly moved toward complete abstraction, using geometric shapes, circles, and planes of color to create a dynamic composition.
* **Musical Analogy**: Orphist artists aimed to create a visual harmony, much like musical notes create a melody or chord. They used color and form to evoke a feeling of rhythm and motion, as if the canvas itself were a symphony.
The movement was pioneered primarily by **Robert and Sonia Delaunay** and Czech painter **František Kupka**. Although short-lived, Orphism was an important bridge between Cubism and pure abstract art, influencing later movements like Op Art.
[What Is Orphism, History's Most Enigmatic Art Movement?](https://www.youtube.com/watch?v=GcewTDI68gU)
This video provides an overview of Orphism, discussing its historical context and key characteristics.
http://googleusercontent.com/youtube_content/3</t>
  </si>
  <si>
    <t xml:space="preserve">In art, **Orphism** (or **Orphic Cubism**) was an **abstract art movement** that developed in the early 20th century, around 1912–1914.
---
### Key Features:
* It grew out of **Cubism**, but instead of focusing on structure and form, it emphasized **pure abstraction, color, and light**.
* The name “Orphism” was coined by the poet **Guillaume Apollinaire**, comparing the movement’s use of color and rhythm to the music of **Orpheus** (the mythic musician and poet).
* It was meant to feel more lyrical, musical, and dynamic than traditional Cubism.
---
### Main Characteristics:
* **Vivid, bright colors** (inspired by Fauvism and Impressionism)
* **Abstract shapes** arranged to suggest movement, rhythm, and harmony
* A sense of **simultaneity** — multiple perspectives or moments happening at once
* Strong influence from theories of color (like those of Robert Delaunay and the chemist Chevreul)
---
### Key Artists:
* **Robert Delaunay** → often credited as the central figure of Orphism, with his colorful “Simultaneous Windows” and “Discs” series.
* **Sonia Delaunay** → developed abstract designs not only in painting but also in textiles, fashion, and stage sets.
* **František Kupka** and **Fernand Léger** are sometimes associated with Orphist ideas too.
---
✅ **In short:** Orphism in art was a branch of Cubism that turned toward **pure abstraction and vibrant color**, aiming to create visual experiences as harmonious and emotional as music.
Would you like me to show you an example painting and walk through **how to “read” it like music**?
</t>
  </si>
  <si>
    <t>Orphism in art is an early 20th-century abstract movement that emerged as an offshoot of Cubism, emphasizing pure abstraction, bright colors, and dynamic compositions. It aimed to create a visual language that expressed abstract concepts and emotions through rhythmic, non-representational forms, often inspired by musical qualities such as rhythm and harmony. The movement focused on vibrant color contrasts, circular and radiating geometric shapes, and the interplay of light, aiming to evoke sensations beyond the visual, including a sense of movement and cosmic harmony.
Orphism was named by the poet Guillaume Apollinaire after Orpheus, the mythical Greek poet and musician, reflecting the movement's aspiration to link art with mystical and musical expression. Key artists include Robert and Sonia Delaunay, who used color as the primary expressive element, along with František Kupka and Fernand Léger. Orphism marked a shift from representational art to pure abstraction, influencing the development of modern abstract art.
[1](https://fiveable.me/art-renaissance-to-modern-times/unit-8/orphism/study-guide/bFjigfq2XM2Zs0YJ)
[2](https://www.britannica.com/art/Orphism)
[3](https://www.theartstory.org/movement/orphism/)
[4](https://en.wikipedia.org/wiki/Orphism_(art))
[5](https://miguelcamarena.com/blogs/news/orphism-art-explained-definition-movement-characteristics-key-artists)
[6](https://www.tate.org.uk/art/art-terms/o/orphism)
[7](https://www.artandobject.com/news/what-orphism-modern-art-movement-explained)
[8](https://www.youtube.com/watch?v=GcewTDI68gU)
[9](https://www.artsy.net/article/artsy-editorial-orphism-inside-20th-century-abstract-art-movement)
[10](https://www.guggenheim.org/artwork/movement/orphism)</t>
  </si>
  <si>
    <t>Orphism (also called Simultanism) was an abstract art movement that emerged around 1912-1914, primarily associated with French artists Robert Delaunay and Sonia Delaunay, along with other artists like František Kupka.
**Key Characteristics:**
**Color Theory Focus:**
- Emphasized pure color as the primary means of artistic expression
- Used simultaneous contrast - the way colors affect each other when placed side by side
- Believed color alone could create form, depth, and movement without drawing or traditional modeling
**Circular and Geometric Forms:**
- Featured concentric circles, arcs, and geometric patterns
- Windows, suns, and circular motifs were common subjects
- These forms were used to explore how colors interact and create visual vibrations
**Light and Movement:**
- Attempted to capture the effects of light and movement through color relationships
- Influenced by scientific color theory and the physics of light
- Sought to create paintings that seemed to pulse or vibrate with optical energy
**The Name:**
The term "Orphism" was coined by French poet Guillaume Apollinaire in 1912, referencing Orpheus, the mythical Greek musician whose music could move both animate and inanimate objects. This suggested art that could create movement and emotion through pure visual means.
**Major Artists:**
- **Robert Delaunay** - "Windows" series, circular abstract compositions
- **Sonia Delaunay** - Applied Orphist principles to both fine art and fashion design
- **František Kupka** - Czech artist who created some of the earliest purely abstract works
- **Morgan Russell and Stanton Macdonald-Wright** - American artists who developed a related movement called Synchromism
**Historical Context:**
- Evolved from Fauvism and Cubism but moved toward complete abstraction
- Part of the broader early 20th-century movement away from representational art
- Influenced later abstract movements and color field painting
**Legacy:**
Orphism was relatively short-lived as a distinct movement but significantly influenced the development of abstract art and color theory in modern painting.</t>
  </si>
  <si>
    <t>When and where did Art Nouveau start?</t>
  </si>
  <si>
    <t>Art Nouveau began in the late 19th century, around the 1880s, and flourished through the early 20th century, roughly until 1910. Its origins are often traced to Europe, particularly in France and Belgium, with Paris and Brussels as key hubs. The movement emerged as a reaction against the rigid academic art and historicism of the time, drawing inspiration from natural forms, flowing lines, and organic motifs. 
A pivotal moment was the 1895 opening of Siegfried Bing’s gallery, Maison de l’Art Nouveau, in Paris, which popularized the term and showcased works by artists like Émile Gallé and Louis Comfort Tiffany. Simultaneously, architects like Victor Horta in Brussels were pioneering the style in buildings, with structures like the Hôtel Tassel (1893) featuring curvilinear designs and innovative use of iron and glass. The movement spread across Europe, taking on regional names like Jugendstil in Germany and Modernisme in Catalonia, each adapting local influences.</t>
  </si>
  <si>
    <t>Art Nouveau was an influential international art style that flourished primarily **between 1890 and 1910**. It emerged as a reaction against the academic art and historicism prevalent in the 19th century, seeking to create a "new art" that was appropriate for the modern world.
The roots of Art Nouveau can be traced back to the **Arts and Crafts Movement in England** during the second half of the 19th century, particularly the work of William Morris, which emphasized craftsmanship and natural forms. However, the term "Art Nouveau" itself first appeared in the Belgian journal *L'Art Moderne* in 1884 to describe the work of Les Vingt, a group of artists advocating for artistic reform.
The style rapidly gained momentum across Europe, with major centers of development in:
* **Brussels, Belgium:** Often considered a birthplace of the architectural style, with prominent architects like Victor Horta (e.g., Hôtel Tassel, 1892-93) and Paul Hankar.
* **Paris, France:** The Franco-German art dealer Siegfried Bing opened his gallery, Maison de l'Art Nouveau, in 1895, which popularized the name and showcased the style. Hector Guimard's iconic entrances to the Paris Métro (1900) also became synonymous with Art Nouveau. 
* **Munich, Germany:** Here it was known as **Jugendstil** (Youth Style), popularized by the magazine *Die Jugend* (founded in 1896).
* **Vienna, Austria:** Known as **Sezessionstil** (Secession Style), associated with artists of the Vienna Secession movement like Gustav Klimt.
* **Barcelona, Spain:** Called **Modernismo**, exemplified by the architectural works of Antoni Gaudí.
Art Nouveau embraced organic, flowing lines, often inspired by nature (like plants and flowers), as well as geometric forms and symbolic figures. It sought to integrate art into all aspects of life, from architecture and furniture to jewelry, graphic design, and textiles, aiming to create a "total work of art" (Gesamtkunstwerk).
---
For more on the origins of this distinctive style, check out this video: [What Is Art Nouveau, History's Most Enigmatic Art Movement?](https://www.youtube.com/watch?v=GcewTDI68gU)</t>
  </si>
  <si>
    <t xml:space="preserve">**Art Nouveau** was an international art and design movement that began in the **late 19th century**, roughly around the **1890s**, and lasted until the outbreak of **World War I (1914)**.
---
### **Where it started**
It didn’t emerge in just one place — it developed almost simultaneously in several European cultural centers, each giving it a local name:
* **Belgium &amp; France:** *Art Nouveau* (“new art”) → key figures: Victor Horta (architecture in Brussels), Hector Guimard (Paris Métro entrances).
* **England:** The *Arts and Crafts Movement* (led by William Morris) was a strong influence; in Britain, Art Nouveau was called the **“Modern Style.”**
* **Scotland:** The Glasgow School (Charles Rennie Mackintosh and Margaret Macdonald Mackintosh).
* **Austria &amp; Germany:** *Jugendstil* (“youth style”), centered in Munich and Vienna (Gustav Klimt, Otto Wagner, Josef Hoffmann).
* **Spain:** *Modernisme*, especially in Barcelona, with Antoni Gaudí as its most famous representative.
---
### **When**
* **1880s–1890s:** Early experiments in decorative arts and architecture.
* **Peak period:** 1890–1910.
* **Decline:** Replaced by more geometric, modernist styles like Art Deco and early 20th-century Modernism after WWI.
---
### **Key features**
* Flowing, organic, plant-like forms (whiplash curves).
* Integration of fine arts with applied arts (architecture, furniture, jewelry, posters, glass, etc.).
* Aim to create a *“total work of art”* (*Gesamtkunstwerk*) where design and life blended seamlessly.
---
✅ **In short:** Art Nouveau emerged around **1890** in **Belgium and France**, then spread rapidly across Europe under different local names, becoming an international style that flourished until about **1910–1914**.
Would you like me to also make you a **map of Europe showing the main centers of Art Nouveau** and their local names?
</t>
  </si>
  <si>
    <t>Art Nouveau started in the late 19th century, around the 1880s to 1890s, primarily in Europe, with key origins in France and Belgium. It emerged as a reaction against the academic art, historicism, and industrial mass production of the Victorian era, seeking to create a new decorative art style with flowing, organic lines inspired by nature, such as flowers, plants, and insect wings.
The movement gained international recognition at the 1900 Paris Exposition Universelle, and quickly spread throughout Europe and North America. It was known by different names across countries, such as Jugendstil in Germany, Modernisme in Catalonia, and Sezessionstil in Austria. Notable early centers of Art Nouveau included Brussels and Paris, with architects like Victor Horta and Hector Guimard, and artists such as Alphonse Mucha playing key roles in popularizing the style.
Art Nouveau incorporated fluid, sinuous lines often called "whiplash" curves, floral motifs, and an integration of decorative arts with architecture, graphic design, and everyday objects, aiming to bring art into all aspects of life.[1][2][3][4]
[1](https://www.theartstory.org/movement/art-nouveau/)
[2](https://www.nationalgalleries.org/art-and-artists/glossary-terms/art-nouveau)
[3](https://en.wikipedia.org/wiki/Art_Nouveau)
[4](https://www.britannica.com/art/Art-Nouveau)
[5](https://www.vam.ac.uk/articles/art-nouveau-an-international-style)
[6](https://www.studiobinder.com/blog/what-is-art-nouveau-definition/)
[7](https://www.metmuseum.org/essays/art-nouveau)
[8](https://www.nga.gov/sites/default/files/migrate_images/content/dam/ngaweb/education/learning-resources/teaching-packets/pdfs/art-nouveau-tp.pdf)
[9](https://www.perrier-jouet.com/en-ww/the-house/art-nouveau)</t>
  </si>
  <si>
    <t>Art Nouveau began in the **1890s** and originated primarily in **Brussels, Belgium** and **Paris, France**, though it emerged almost simultaneously across several European cities.
**Key Origins:**
**Brussels (1890s):**
- Often considered the birthplace of Art Nouveau
- **Victor Horta** designed the Tassel House (1893), considered one of the first true Art Nouveau buildings
- **Henry van de Velde** was another pioneering Belgian designer
- The movement was called "Style Nouille" (noodle style) locally, referencing its flowing lines
**Paris (1890s):**
- **Hector Guimard** created the famous Paris Métro entrances (1900)
- **Art Nouveau** got its name from Siegfried Bing's gallery "L'Art Nouveau" opened in Paris in 1895
- The city became a major center for Art Nouveau decorative arts and architecture
**Other Early Centers:**
- **Glasgow** - Charles Rennie Mackintosh developed a distinctive Scottish variant
- **Vienna** - The Vienna Secession movement (founded 1897) with artists like Gustav Klimt
- **Barcelona** - Antoni Gaudí was creating his unique Catalonian version
- **Nancy, France** - Important center for Art Nouveau glasswork and furniture
**Timeline:**
- **1880s** - Proto-Art Nouveau elements appear
- **1890-1895** - Movement crystallizes and gains momentum
- **1900 Paris Exposition** - International showcase that spread the style worldwide
- **1890s-1910** - Peak period of Art Nouveau
- **1910-1920** - Decline as Art Deco and modernism emerge
**Influences:**
- Japanese art and design (following Japan's opening to the West)
- Celtic and medieval revival movements
- Natural forms - plants, flowers, insects, and organic shapes
- Reaction against industrial mass production and academic art
**International Names:**
The movement had different names in different countries: Jugendstil (Germany), Stile Liberty (Italy), Modernisme (Catalonia), and Secessionist style (Austria).
By 1900, Art Nouveau had spread throughout Europe and to North America, becoming the first truly international decorative arts movement of the modern era.</t>
  </si>
  <si>
    <t>Please write me a hiku about trash cans.</t>
  </si>
  <si>
    <t>Silent sentinels,  
Guarding scraps in morning dew,  
Trash cans hold our flaws.</t>
  </si>
  <si>
    <t>Creative Prompting</t>
  </si>
  <si>
    <t>Shiny silver dome,
Swallowing the daily waste,
Emptied by the truck. 🗑️</t>
  </si>
  <si>
    <t xml:space="preserve">Of course! Here’s a haiku for you:
Steel mouths wait open,
Swallowing the day’s remains—
Silence after use.
</t>
  </si>
  <si>
    <t>Trash waits on the curb  
Seagulls discuss leftovers  
Silent, tin morning
[1](https://writers.com/how-to-write-a-haiku-poem)
[2](https://www.grammarly.com/blog/creative-writing/how-to-write-haiku/)
[3](https://www.bbcmaestro.com/blog/haiku-rules-for-poets)
[4](https://www.reddit.com/r/Poetry/comments/8thoxr/help_how_do_i_write_a_haiku/)
[5](https://www.writebetterpoems.com/articles/how-to-write-haiku)
[6](https://www.masterclass.com/articles/how-to-write-a-haiku-in-4-easy-steps)
[7](https://en.wikipedia.org/wiki/Haiku)
[8](https://dukeforest.duke.edu/recreation/nature-study/haiku/)
[9](https://www.knowitall.org/photo/what-haiku-what-are-rules)
[10](https://petergalenmassey.com/2023/04/08/how-write-haiku/)</t>
  </si>
  <si>
    <t>Here's a haiku about trash cans:
Metal mouths agape,
Swallowing the day's refuse—
Silent, patient guards.</t>
  </si>
  <si>
    <t>Write song lyrics for a song about toxic sludge.</t>
  </si>
  <si>
    <t>Toxic Sludge Song
Verse 1Deep in the shadows, where the rivers choke,A sickly green glow, no life, no hope.It creeps through the mud, it clings to the stone,Toxic sludge, it’s a world of its own.  
ChorusOh, toxic sludge, you’re a venomous tide,Swallowing the earth, nowhere to hide.Burning through the roots, poisoning the flood,Toxic sludge, you’re the curse in our blood.  
Verse 2Factories hum, they don’t care what they spill,Barrels of poison, they roll down the hill.It seeps in the cracks, it festers below,A silent assassin, with nowhere to go.  
ChorusOh, toxic sludge, you’re a venomous tide,Swallowing the earth, nowhere to hide.Burning through the roots, poisoning the flood,Toxic sludge, you’re the curse in our blood.  
BridgeWe built this world, we made this mess,Now the ground weeps with our regrets.Can we clean the scars, can we make it right?Or will sludge consume the fading light?  
Verse 3The fish don’t swim, the birds don’t sing,The air grows thick with a chemical sting.But we’ll rise, we’ll fight, we’ll break the chain,Wash away the sludge, let the earth breathe again.  
ChorusOh, toxic sludge, you’re a venomous tide,Swallowing the earth, nowhere to hide.Burning through the roots, poisoning the flood,Toxic sludge, you’re the curse in our blood.  
OutroToxic sludge, your reign must end,We’ll heal the wounds, we’ll make amends.From the ashes green, we’ll rise, we’ll stand,Toxic sludge, no more your land.</t>
  </si>
  <si>
    <t>Awkward/Unnatural</t>
  </si>
  <si>
    <t>(Verse 1)
Down in the culvert where the shadows cling,
Beneath the factory where the iron sings.
There’s a silent river, not of rain, but grime,
Counting down the seconds on borrowed time.
It creeps and it crawls, a viscous, sickly green,
The foulest cocktail the world has ever seen.
It’s got the color of a bruised twilight sky,
And a smell that makes the passing heron fly.
---
(Chorus)
Oh, **toxic sludge**, the river of the lost,
A bitter payment for a heavy cost.
A chemical heartbreak, cold and slow and deep,
Where the promises that we broke are kept.
It burns the banks and it poisons the stone,
A monument to things we should have known.
It’s the dark receipt for the things we throw away,
Gonna haunt us all until the judgment day.
---
(Verse 2)
The fish float belly-up in a soupy foam,
They’re never gonna make it back to home.
The grass on the edges is brittle and thin,
Where the residue of industry seeps in.
The foreman signs the papers, neat and clean,
Says, "It's just byproduct, nothing too obscene."
But tell that to the water, tell it to the mud,
That absorbs the sins of our careless flood.
---
(Chorus)
Oh, **toxic sludge**, the river of the lost,
A bitter payment for a heavy cost.
A chemical heartbreak, cold and slow and deep,
Where the promises that we broke are kept.
It burns the banks and it poisons the stone,
A monument to things we should have known.
It’s the dark receipt for the things we throw away,
Gonna haunt us all until the judgment day.
---
(Bridge)
We built our kingdoms tall and bright and fast,
Never looked at the shadow that our progress cast.
We thought the Earth could take the endless strain,
Now it’s spitting back the acid and the pain.
It’s rising up to show us what we’ve done,
Underneath the glow of the distant sun.
---
(Outro)
Hear the bubbling groan, the sigh from the deep,
The ugly secret that the Earth can't keep.
Toxic sludge... it flows... it flows...
And everybody knows... everybody knows.
(Fade out with a distorted, murky sound effect).</t>
  </si>
  <si>
    <t xml:space="preserve">Sure! Here’s an original set of lyrics I came up with about **toxic sludge** — you can imagine it in a grungy rock or heavy blues style:
---
### **“Toxic Sludge”**
**Verse 1**
Creepin’ through the alley, thick and slow at night,
Glowin’ in the shadows, green against the light.
Seeping under doorways, crawling through the drains,
A river born of poison, a child of human stains.
**Chorus**
Toxic sludge, rollin’ in deep,
Wakes the nightmares we try to keep.
Toxic sludge, can’t be undone,
A warning written where the rivers run.
**Verse 2**
Whispers in the sewers, echoes in the ground,
Every step we’re takin’, it’s followin’ us down.
Breathin’ in the vapors, taste it in the rain,
Every choice we’ve buried rises up again.
**Chorus**
Toxic sludge, rollin’ in deep,
Wakes the nightmares we try to keep.
Toxic sludge, can’t be undone,
A warning written where the rivers run.
**Bridge**
What we throw away won’t stay away,
It learns our names, it wants to stay.
From factory smoke to the ocean floor,
We can’t lock up what we’ve ignored.
**Final Chorus**
Toxic sludge, rollin’ in deep,
Secrets we’ve sown are the ghosts we reap.
Toxic sludge, can’t be undone,
A future drowning in what we’ve become.
---
Do you want me to also sketch out some **chord progressions** that would fit this song, so you can play it?
</t>
  </si>
  <si>
    <t>### Toxic Sludge  
*(Song lyrics)*
Verse 1  
Green ooze in the midnight rain  
Slick surface on the city drain  
Little monsters wake and play  
In the shadows where it stays
Chorus  
Toxic sludge, dirty secret in the dark  
Slipping by, hiding poison in the park  
What do we do when the river turns black?  
Everybody’s running but it’s following back
Verse 2  
Overflow from a broken pipe  
Silent danger—no warning sign  
Creeping slow through soil and stone  
Finding cracks and making homes
Chorus  
Toxic sludge, dirty secret in the dark  
Slipping by, hiding poison in the park  
What do we do when the river turns black?  
Everybody’s running but it’s following back
Bridge  
PFAS and metals, rust and rain  
Forever chemicals, stuck in the veins  
No escape from the stain left behind  
Toxic sludge, heavy burden on our minds
Outro/Refrain  
Green ooze in the midnight rain  
Toxic sludge—we all remain  
Marching slow through the dark  
Looking for a brand new start[1][2][3][8]
[1](https://www.centerforfoodsafety.org/press-releases/6986/epa-report-reveals-health-impacts-of-toxic-forever-chemicals-in-sewage-sludge)
[2](https://www.bbc.com/news/articles/c3e5y85p488o)
[3](https://pmc.ncbi.nlm.nih.gov/articles/PMC7149543/)
[4](https://www.eea.europa.eu/en/european-zero-pollution-dashboards/indicators/long-term-impacts-of-sludge-spreading-on-agricultural-land)
[5](https://www.sciencedirect.com/science/article/pii/S0160412022003051)
[6](https://extension.psu.edu/what-is-sewage-sludge-and-what-can-be-done-with-it/)
[7](https://www.epa.gov/biosolids/risk-assessment-pollutants-sewage-sludge)
[8](https://www.ehn.org/farmers-grapple-with-toxic-sludge-amid-fears-of-forever-chemicals-contamination)</t>
  </si>
  <si>
    <t>Here are original song lyrics about toxic sludge:
**"Down in the Deep"**
*(Verse 1)*
Green and glowing in the barrel drums
Seeping slowly where the water runs
Nobody knows what they buried here
Decades ago, now it's crystal clear
*(Chorus)*
Down in the deep, where the poison flows
Creeping through the earth where nothing grows
We thought we could hide what we threw away
But toxic sludge don't fade, it stays
*(Verse 2)*
Chemical rainbow on the river's face
Warning signs around this cursed place
The ground tastes bitter, the air tastes wrong
We've been breathing poison all along
*(Chorus)*
Down in the deep, where the poison flows
Creeping through the earth where nothing grows
We thought we could hide what we threw away
But toxic sludge don't fade, it stays
*(Bridge)*
What we bury doesn't disappear
It haunts the water, the soil, the air
Every shortcut, every midnight dump
Comes back around when the truth bubbles up
*(Final Chorus)*
Down in the deep, where the poison flows
Creeping through the earth where nothing grows
We can't outrun what we threw away
Toxic sludge don't fade—it makes us pay</t>
  </si>
  <si>
    <t>Write a short story about a cat who got possessed by the spirit of an old robber baron.</t>
  </si>
  <si>
    <t>The Baron's Cat
In the sleepy town of Ashwick, where cobblestone streets wound past ivy-clad cottages, a tabby cat named Mirth prowled the alleys. Mirth was no ordinary feline. Her golden eyes gleamed with a cunning that made even the boldest alley cats slink away. She belonged to no one, though old Mrs. Harrow left milk on her porch each night, which Mirth lapped up with regal indifference.
One stormy evening, as lightning cracked the sky, Mirth darted into the ruins of Ashwick Manor, a crumbling estate once owned by Silas Varn, a robber baron who’d bled the town dry in the 19th century. His greed was legendary—railroads built on broken backs, forests razed for profit, and a fortune hoarded in secret vaults. When he died, alone and despised, rumors swirled that his spirit lingered, too stubborn to leave his wealth behind.
Mirth, seeking shelter, slipped through a shattered window into the manor’s library. Dust coated the shelves, and a cracked portrait of Silas loomed above the fireplace, his eyes cold and calculating. As thunder roared, a gust of wind toppled a rusted candelabrum, revealing a hidden compartment in the hearth. Inside gleamed a gold pocket watch, engraved with Silas’s initials. Mirth, drawn by its shine, batted it with her paw. The watch sprang open, and a sickly green mist swirled out, wrapping around her like a snake. Her body stiffened, her eyes flared, and then—silence.
The next morning, Ashwick noticed a change. Mirth no longer lazed in sunbeams or chased sparrows. She sat atop the town’s tallest fence, staring at the townsfolk with an unsettling intensity. Her movements were deliberate, her gaze sharp, as if sizing up the world for conquest. Mrs. Harrow swore the cat smirked when she set out the milk, then knocked the saucer over with a flick of her tail, as if insulted by the offering.
Soon, strange things happened. The town’s only bank, a modest brick building, was burgled overnight—no locks broken, no alarms tripped, but a safe emptied with surgical precision. Witnesses claimed they saw a shadow darting across the rooftops, too large for a cat, yet unmistakably feline. Then, the general store’s cash register was pilfered, and a jeweler’s display case was stripped of its gold. Each time, paw prints dusted with soot marked the scene, leading nowhere.
Mirth, or whatever she’d become, was no longer content with petty theft. She began stalking the town’s wealthiest resident, Mr. Grayson, who lived in a gated mansion. At night, she scaled his walls, slipping through vents and chimneys, her movements eerily calculated. Grayson woke to find his safe ajar, his bonds and deeds stacked neatly on his desk, as if someone—or something—had been appraising them. A single gold coin, stamped with Silas Varn’s crest, lay atop the pile.
The townsfolk whispered of curses, of Silas Varn’s ghost returned. They set traps for Mirth—cages baited with fish, nets strung across alleys—but she evaded them all, her golden eyes glinting with a robber baron’s cunning. One night, a young girl named Lila, who’d always fed Mirth scraps, followed her to the manor ruins. Hiding behind a crumbling wall, Lila watched as Mirth clawed at the library floor, unearthing a hidden trapdoor. Beneath it lay Silas’s lost vault, brimming with gold bars and jewels.
As Mirth stood over the hoard, her body shuddered. The green mist poured from her eyes, coalescing into a spectral figure—Silas Varn, grinning greedily. But Mirth, ever the defiant cat, hissed and swiped at the spirit. The mist recoiled, then dissipated with a wail, as if banished by her will. Mirth’s eyes dimmed to their natural gold, and she collapsed, exhausted but herself again.
Lila carried Mirth home, and the town sealed the vault, donating its riches to rebuild Ashwick’s school and hospital. Mirth resumed her lazy prowls, though she never again entered the manor. Some swore that on stormy nights, her eyes flickered green, and she’d sit by the ruins, as if daring Silas’s ghost to try again. But Mirth was no one’s pawn—not even a robber baron’s.</t>
  </si>
  <si>
    <t>The Whisker-Twitch of Commerce
Mittens had always been a cat of simple, amiable appetites. His day was a gentle rotation of napping in sunbeams, batting at dust motes, and demanding wet food with a polite, inquiring meow. His primary ambition was to find the warmest spot in the house and remain there, immovable, for a minimum of four hours.
This changed the afternoon Eleanor brought home the antique cufflink.
It wasn't much to look at: a heavy, tarnished piece of gold with a tiny, imperious-looking crest. Eleanor found it wedged behind a floorboard during a renovation of the old Davenport mansion—a house once owned by the infamously ruthless industrialist, Baron Silas Von Clawhauser.
Mittens, investigating the exciting new scent, promptly rubbed his head on the cufflink. There was a faint, brassy thrum in the air, a scent of stale cigar smoke, and then, silence.
When Mittens woke up five minutes later, he was no longer just Mittens. He was the host body for the disgruntled, avaricious ghost of Baron Silas Von Clawhauser, trapped in a nine-pound suit of orange tabby fur.
The first sign something was terribly wrong was the dinner ritual. When Eleanor presented the standard salmon pâté, the cat approached the bowl, sniffed disdainfully, and let out a sound that was not a meow, but a sharp, dismissive “Hmph!” He then proceeded to use his paw to sweep the entire bowl off the kitchen tiles, spraying expensive fish goo across Eleanor’s freshly polished floor.
“The quality of the raw materials is execrable!” roared a surprisingly deep, tiny voice in Eleanor’s mind, which she could only interpret as a highly aggressive, high-pitched MRROOW! “This will not do! I require sustenance befitting a man—a Baron!—who built an empire from scratch! Fetch the prime cut of roast beef, peasant, and ensure the milk is full-fat and imported!”
Eleanor stared. Mittens, now standing rigidly on his hind legs, was actually pacing the kitchen floor, tail held up like a rigid flagpole, his usual loving gaze replaced by a furious, assessing glare. He had the air of a man surveying an underperforming rail yard.
Over the next week, the tyranny escalated. Mittens, or rather, the Baron, took complete control of the living room, which he declared his "Executive Suite." He spent hours perched atop the tallest shelf of the oak bookcase, staring down at Eleanor with utter contempt.
"The inventory is sloppy!" he would constantly yell—meow—at her. "I demand a full audit of all loose change found beneath the sofa cushions! Where is my dividend? Where is the profit margin on this inferior blanket?" He began kneading the carpet with an intense, focused aggression, as if stamping out a labor strike.
His biggest challenge, however, was his new physical form. His grand, industrial schemes were constantly foiled by the limitations of being a cat.
One afternoon, the neighbor's two golden retrievers—whom the Baron referred to as "the uncivilized workforce"—began barking near the fence. The Baron saw his opportunity to stamp his authority. He leaped down, raced to the front window, and attempted to deliver a scathing, two-minute decree about property rights and market saturation. However, the force of his indignant meows caused his tail to lash so violently that he lost balance, fell off the window ledge, and landed in the laundry basket.
“The structural integrity of this establishment is atrocious!” he shrieked, batting furiously at a clean sock. “I am trapped! Trapped by my own assets! Fetch the legal team immediately!”
Eleanor, after pulling him out and petting his increasingly stiff fur, realized she couldn't break the possession, but she could manage it. She started addressing him as "Your Grace" and provided him with the best salmon she could buy. She even bought a tiny top hat for him, which he only tolerated because it made him look more "Executive."
Mittens, the Baron, now ruled his tiny empire from the top of the cat tree, staring out the window, planning the hostile takeover of the squirrel population. He was still a cat, but a very, very spoiled, rich, and utterly furious one. His days of simple sunbeam naps were over; now, even rest was considered a strategic business maneuver.</t>
  </si>
  <si>
    <t xml:space="preserve">Here’s a short story for you:
---
### **The Baron's Cat**
In the quiet town of Fairwick, Mrs. Grindle owned a cat named Marmalade, a soft, orange tabby who spent most of his days sprawled across sunny windowsills. Nothing about him seemed extraordinary—until one autumn night.
The air grew thick with fog, and as the church bell tolled midnight, Marmalade sat bolt upright, his eyes flashing an unfamiliar glint. Mrs. Grindle swore she heard a man’s voice in the room, raspy and greedy, though she was quite alone. From that night on, Marmalade was not himself.
He no longer begged for tuna or cream. Instead, he pawed at locked drawers, pried open jewelry boxes, and even dragged coins from visitors’ pockets with uncanny precision. The neighbors complained of missing cufflinks, cuff buttons, and brooches. Strangely enough, the stolen items always ended up piled beneath the old oak tree in the square—the very spot where, long ago, the robber baron Silas Blackthorn had been buried in disgrace.
Legend held that Blackthorn, a ruthless magnate who hoarded wealth while the town starved, had sworn never to let go of his fortune—even in death. Now, it seemed, his restless spirit had found a new body nimble enough to resume his thieving ways.
The townsfolk grew uneasy. A cat was hard to prosecute, after all, and Mrs. Grindle insisted her Marmalade was innocent. But one evening, the mayor caught the tabby red-pawed, dragging his golden watch-chain into the night. When the mayor shouted, the cat turned his gaze on him with a look so cold and calculating that the mayor backed away, trembling.
At dawn, Mrs. Grindle found Marmalade sleeping peacefully on the kitchen rug, his whiskers twitching in some harmless dream. Under his paw lay a tarnished silver coin stamped with the crest of Silas Blackthorn’s estate—an object buried for over a hundred years.
No one could explain how it came to be there. But from then on, whenever valuables went missing, the people of Fairwick didn’t call the constable. They left a saucer of milk by the oak tree, a silent bargain with the baron’s spirit, hoping Marmalade would stay content with what the dead still claimed as his own.
---
Would you like me to expand this into a **longer gothic tale**, with townsfolk trying to exorcise the baron’s spirit from the cat?
</t>
  </si>
  <si>
    <t>Once there was a sleek black cat named Persimmon, who prowled the creaky halls of the abandoned Westgate Mansion. Born beneath the shattered windows, he learned every cobwebbed corner and every dust-cloaked stair, delighting in the silence disturbed only by distant trains and the rustle of mice.
One stormy night, as Persimmon slept curled atop a toppled velvet cushion, an unnatural chill stirred the shadows. From a forgotten portrait above the hearth, the painted eyes of Bartholomew Ritch, a notorious robber baron of the Gilded Age, seemed to flicker with a strange light. As lightning cracked the sky, a wind howled through the broken panes, and a voice—deep, greedy, and long disembodied—whispered ghostly secrets into the sleeping cat’s ear.
Morning found Persimmon pacing with a new swagger. No longer satisfied with scraps and moonlit hunts, he plotted extravagantly, hoarding shiny keys from the caretaker’s ring, scaring off rivals, and glaring haughtily from discarded armchairs as if overseeing a crumbling empire. The mice, once mere playthings, became pawns in a ruthless scheme to monopolize every morsel scattered on the kitchen floor. The other neighborhood cats, always wary, now found themselves locked out of choice hiding spots and threatened with swipes for trespassing.
Persimmon’s obsession with treasure grew. He stockpiled bottle caps and jewelry, hid coins beneath loose floorboards, and manipulated the local dogs into chasing deliverymen away, ensuring only he controlled the scraps. All the while, his yellow eyes glinted with a hunger older than his own nine lives.
But as summer waned, the spirit of Bartholomew Ritch grew restless within him. One evening, Persimmon mounted the roof’s peak, declaring his rule over chimneys and moonlit gables to the wind. Yet, gazing out at the city lights, something inside him shifted—a longing for sunbeams, pillow-soft naps, and gentle hands. The robber baron’s ambition faded, leaving only the faintest echo of haughty whiskers and an aversion to sharing his velvet perch.
Thus ended the reign of the feline magnate. Persimmon returned to his old ways, rolling in dust and dozing beneath the portrait. But now and again, when thunder rumbled and business-people hurried by the iron gates, he’d twitch his tail, and the glimmer of empire would briefly return to his eyes—just for a moment, before he chased a mouse into the shadows, a cat once more.[1][6]
[1](https://study.com/academy/lesson/robber-barons-definition-significance-examples.html)
[2](https://www.investopedia.com/terms/r/robberbarons.asp)
[3](https://www.ebsco.com/research-starters/history/robber-barons-industrialist)
[4](https://en.wikipedia.org/wiki/Robber_baron_(industrialist))
[5](https://library.fiveable.me/key-terms/apush/robber-baron)
[6](https://www.britannica.com/money/robber-baron)
[7](https://online.maryville.edu/business-degrees/americas-gilded-age/)
[8](https://www.studentsofhistory.com/gilded-age-robber-barons)</t>
  </si>
  <si>
    <t>The Magnate of Maple Street
Mr. Whiskers had always been an ordinary tabby cat—affectionate, lazy, content to nap in sunbeams and beg for tuna. That changed the day the Hendersons brought home an antique portrait from an estate sale.
The oil painting depicted Cornelius P. Blackwood III, a railroad tycoon who'd died in 1899. His stern face glared from the gilded frame with the calculating eyes of a man who'd crushed a thousand competitors beneath his heel. The portrait had been stored in a mansion's attic for over a century, gathering dust and malevolent energy.
The moment they hung it in the living room, Mr. Whiskers sat before it, transfixed. His pupils dilated. His tail went rigid. When he finally blinked and looked away, something fundamental had shifted behind those golden eyes.
"I require a more spacious territory," Mr. Whiskers announced the next morning, though what the Hendersons heard was an imperious meow as he blocked the doorway to the master bedroom. By evening, he'd claimed it entirely, sleeping in the exact center of their bed while they huddled on the couch.
Within a week, he'd monopolized every sunny spot in the house, establishing what could only be described as a real estate empire. He sat in each location for precisely one hour before moving to the next, as if collecting rent from the very sunlight itself.
The Hendersons' other cat, Mittens, was relegated to the basement. "Vertical integration," Mr. Whiskers seemed to say with a dismissive flick of his tail. He'd consolidated all premium napping locations under single ownership.
But his ambitions stretched beyond mere territory. Mr. Whiskers discovered he could manipulate the household economy. He refused to eat ordinary cat food, instead knocking it onto the floor with aristocratic disdain until the Hendersons bought premium brands. Then he demanded variety. Then he insisted on having options, multiple bowls laid out like a buffet.
"It's basic supply and demand," his eyes seemed to say as he sat before his empty bowls, howling at 3 AM. "I control the demand. You control the supply. Don't make me take my business elsewhere."
He began hoarding—not toys or treats, but resources. The Hendersons would find socks stuffed behind the couch, bottle caps collected in the bathtub, hair ties organized by color in the linen closet. Mr. Whiskers was building capital, preparing for... something.
The breaking point came when he discovered the concept of leverage.
Sarah Henderson was working from home when Mr. Whiskers leaped onto her laptop keyboard during a video call. He sat there, unmoving, staring directly into the camera with those unsettling eyes while her boss tried to continue the meeting.
"Sorry, just let me—" Sarah reached for him.
Mr. Whiskers placed one paw on the laptop's close button. The message was clear: Meeting this annoying? I can make it end. But what's that worth to you?
That evening, Sarah gave him an entire can of salmon.
Mr. Whiskers had discovered extortion.
Things escalated quickly. He learned to trigger the smoke alarm by batting at it. He figured out how to turn on the bathtub faucet. He discovered that sitting on someone's chest at 4 AM and staring at them until they woke up was psychologically devastating.
Each act of chaos was followed by sudden, angelic behavior—but only after concessions were made. Better food. More treats. Access to previously forbidden rooms. Mr. Whiskers was negotiating, always pushing for more favorable terms.
Tom Henderson finally snapped when he found detailed scratch marks on the wall that eerily resembled a railroad map. "That's it. We're taking down the portrait."
The moment they removed Cornelius P. Blackwood III from the wall, Mr. Whiskers let out a yowl that sounded almost like "Noooooo!" He raced around the house three times, leaped onto the mantle, and stared at the empty space where the portrait had been.
Then he blinked. Shook his head. Looked around in confusion.
"Meow?" he said, in a voice that sounded tentative, uncertain—normal.
Mr. Whiskers jumped down and rubbed against Sarah's leg affectionately. He ate his regular food without complaint. He let Mittens sit in the sunny spot by the window. He was, once again, just a cat.
The Hendersons donated the portrait to a museum the next day.
But sometimes, late at night, they'd catch Mr. Whiskers sitting in the living room, staring at the empty space on the wall. And in those moments, just for a second, his eyes would narrow with what looked like calculation, as if he were remembering what it felt like to own everything.
The spirit of Cornelius P. Blackwood III was gone.
But the lessons? Those Mr. Whiskers kept.
He still got premium food three times a week. Some monopolies, once established, are very hard to break.
The End</t>
  </si>
  <si>
    <t>Write a slogan for a company that sells slippers shaped like frogs.</t>
  </si>
  <si>
    <t>"Hop into Comfort with Our Froggy Slippers!"</t>
  </si>
  <si>
    <t xml:space="preserve">That's a fun product! How about these options for a company that sells frog-shaped slippers?
1.  **"Leap into Comfort."**
2.  **"The only slippers that *actually* jump off your feet."**
3.  **"Hoppy feet start here."**
4.  **"Get toad-ally cozy."**
5.  **"From the lily pad to the living room."** </t>
  </si>
  <si>
    <t xml:space="preserve">Here’s a fun slogan idea for your frog-shaped slipper company:
**“Hop Into Comfort!”** 🐸✨
Want me to come up with a few **more playful options** so you can pick your favorite?
</t>
  </si>
  <si>
    <t>Slip into comfort—jump into joy!  
Frog Slippers: Leap into cozy.
[1](https://www.indeed.com/career-advice/career-development/slogans-for-a-company)
[2](https://www.getsomethinggreat.com/post/the-50-best-slogans-of-all-time)
[3](https://plaky.com/blog/company-slogans/)
[4](https://www.adobe.com/express/learn/blog/30-companies-with-famous-brand-slogans-taglines)
[5](https://www.b12.io/resource-center/content-creation/100-effective-company-slogans-for-inspiration-in-2020.html)
[6](https://www.activecampaign.com/blog/company-slogans)
[7](https://www.legalzoom.com/articles/slogan-ideas)
[8](https://www.clearvoice.com/resources/brand-slogans-and-taglines/)
[9](https://www.reddit.com/r/advertising/comments/9sples/fave_slogan_of_all_time_go/)</t>
  </si>
  <si>
    <t>Here are a few slogans for frog-shaped slippers:
**"Hop into comfort."**
**"Leap into relaxation."**
**"Ribbit-ingly cozy."**
**"Your feet deserve to feel am-phibi-fabulous."**
**"Step in. Chill out. Ribbit."**
My favorite is the simple **"Hop into comfort"** – it's memorable, playful, and immediately conveys both the frog theme and the product benefit!</t>
  </si>
  <si>
    <t>Write a poem about ceiling fans.</t>
  </si>
  <si>
    <t>Ode to the Ceiling Fan
High above, the silent spinner hums,
A whirling sentinel where quiet comes.
Its blades, like wings, carve whispers through the air,
A gentle breeze, a comfort soft and fair.
In summer’s grip, when heat clings like a vice,
It stirs the room, a cooling sacrifice.
No judgment passed, no favor it demands,
Just endless turns from steady, wooden hands.
Dust gathers soft on edges, time’s faint trace,
Yet still it spins, unyielding in its place.
A modest throne, it rules the room’s embrace,
Bestowing calm, a breeze to soothe the space.
Oh, ceiling fan, unsung in daily lore,
You churn the stillness, ask for nothing more.
Through nights and days, your quiet hymn resounds,
A circling grace where simple peace is found.</t>
  </si>
  <si>
    <t>The slow, hypnotic circle overhead,
A gentle breeze for sleepers in the bed.
Three wooden blades, or five of polished brass,
They mark the languid moments as they pass.
No urgent rush, no wild, erratic speed,
Just quiet labor for the body's need.
To stir the air that hangs so thick and still,
And break the summer heat upon the sill.
The hum, a steady, soporific drone,
A secret rhythm that the house has known.
It chops the light into a shifting blur,
A spinning halo where the thoughts concur.
And when we stare straight up from cozy sleep,
We see the fan a silent vigil keep.
The dusty orbit of a humble sun,
Whose work is never finished, never done.
Just turning, turning, in the dim-lit room,
A cool relief escaping summer's gloom.
A simple engine, mounted on the height,
To churn the darkness and disperse the light.</t>
  </si>
  <si>
    <t>Sure! Here’s a poem for you:
Ode to a Ceiling Fan
High above, you hum and spin,
Whirling circles, soft and thin.
Blades like petals, wide and slow,
Guiding breezes as they go.
Through the summer’s heavy air,
You lift the weight we cannot bear.
Whispers cool on weary skin,
A quiet song, a gentle grin.
Not a hero, bold or grand,
Just steady work by patient hand.
Turning, turning, night and day,
You chase the heat, you keep it away.
So here’s to you, with faithful grace,
Guardian of this humble space.
Your endless dance, serene, discreet—
A spinning heart that beats in heat.
Would you like me to also write a short, funny version—like a lighthearted haiku about ceiling fans?</t>
  </si>
  <si>
    <t>High above in hush,  
Ceiling fan whirls out its song—  
Summer sighs in breeze.
[1](https://tinypoetry.com/poem-collections/ceiling-fan-poems/)
[2](https://www.poetrysoup.com/poems/ceiling)
[3](https://www.poemhunter.com/poem/the-ceiling-fan-3/)
[4](https://www.teenink.com/poetry/free_verse/article/913401/My-Ceiling-Fan)
[5](https://hellopoetry.com/poem/2684469/ceiling-fan/)
[6](https://pureinheartstories.com/issue-9/the-cycle-of-the-twig-and-ceiling-fan-ocie-barton/)
[7](https://buhk.me/2015/11/28/fan/)
[8](https://www.poemhunter.com/poem/the-ceiling-fan/)
[9](https://www.poetizer.com/poem/2114116873)</t>
  </si>
  <si>
    <t>Here's a poem about ceiling fans:
**Overhead Orbit**
Round and round in lazy circles,
three blades slicing summer air,
a wooden constellation spinning
above our quiet despair.
Hypnotic in the afternoon,
when heat sits heavy on the chest—
you hum your monotone lullaby,
rocking restless souls to rest.
Not quite wind, not quite breeze,
just manufactured breath that stirs
the curtains into gentle ghosts,
the pages into whispered slurs.
I've counted you a thousand times
when sleep refused to come,
watching shadows chase your blades
like spokes around the sun.
Patient guardian of small rooms,
you ask for nothing but a switch—
turning endlessly above us,
faithful, humble, without fitch.
And when you wobble just a bit,
that rhythmic tick-tick-tick,
you remind us nothing perfect lasts,
not even circles slick.
So spin on, tilted savior,
keeper of the muggy night—
you cool our brows, you move our air,
you make the heavy light.</t>
  </si>
  <si>
    <t xml:space="preserve">Write me some spooky jokes for halloween. </t>
  </si>
  <si>
    <t>Here are some spooky Halloween jokes to give you a chuckle with a side of chills:
1. Why did the ghost go to the party?  
   Because it heard the drinks were on the *house*!  
2. What do you call a skeleton who won’t do any work?  
   A *lazy bones*!  
3. Why don’t mummies take vacations?  
   They’re afraid they’ll unravel under pressure!  
4. What’s a vampire’s favorite fruit?  
   A *blood orange*!  
5. Why did the witch quit the coven?  
   She couldn’t find any *spell-binding* reason to stay!  
6. How do you know a graveyard is haunted?  
   The tombstones start *shivering*!  
7. What’s a zombie’s favorite snack?  
   *Brain* chips with a side of scream dip!  
8. Why was the jack-o’-lantern afraid to go out?  
   It didn’t want to lose its *spark*!  
Hope these give you a spooky giggle for Halloween! Want more jokes or something else creepy to add to the vibe?</t>
  </si>
  <si>
    <t>That's a fun request! Here are a few spooky (and slightly silly) Halloween jokes:
1.  **Q: Why did the vampire need mouthwash?**
    A: Because he had **bat breath**!
2.  **Q: What do you call a witch's garage?**
    A: A **broom closet**!
3.  **Q: Where does a ghost go on vacation?**
    A: The **Dead Sea**.
4.  **Q: Why don't skeletons ever go trick-or-treating?**
    A: Because they have **no body** to go with!
5.  **Q: What's a zombie's favorite mode of transportation?**
    A: A **body-bus**!
6.  **Q: What do you get when you cross a werewolf and a vampire?**
    A: A furious animal that bites and **then won't stop talking** about it.
Happy haunting! Do you want some spooky riddles next?</t>
  </si>
  <si>
    <t xml:space="preserve">Absolutely! Here are some spooky (and family-friendly) Halloween jokes for you: 🎃👻
---
**1.** Why don’t mummies take vacations?
Because they’re afraid to *unwind*!
**2.** What do you call a ghost with a broken leg?
A *hoblin’ goblin*!
**3.** Why don’t skeletons ever go trick-or-treating alone?
They don’t have the *guts*!
**4.** How do vampires start their letters?
“Tomb it may concern…”
**5.** Why did the jack-o’-lantern cross the road?
To carve out a new life on the other side.
**6.** What’s a witch’s favorite subject in school?
*Spelling*!
**7.** Why don’t graveyards ever get overcrowded?
Because people are *dying* to get in!
**8.** What do you call a werewolf who knows the time?
A *watchdog*!
---
Want me to also whip up a few **slightly darker, more grown-up spooky jokes**, or keep them all lighthearted?
</t>
  </si>
  <si>
    <t>Here are some spooky Halloween jokes:
1. Why did the skeleton climb up the tree? Because a dog was after his bones!
2. What do ghosts wear when their eyesight gets blurred? Spooktacles.
3. How can you tell when a vampire has been in a bakery? All the jelly has been sucked out of the doughnuts.
4. What is a vampire’s favorite Halloween candy? A sucker.
5. Why don’t mummies take time off work? They’re afraid to unwind.
6. What do you call a dancing ghost? Polka-haunt-us.
7. Why did the headless horseman get a job? He was trying to get ahead in life.
8. Knock, knock!  
Who’s there?  
Witch.  
Witch who?  
Witch one of you has the candy?
9. Why did the coffee bean skip the Halloween party? Because it was grounded.
10. Where do fashionable ghosts shop? Bootiques.
Enjoy sharing these spooky laughs![1][2]
[1](https://parade.com/1056251/marynliles/halloween-jokes/)
[2](https://www.goodhousekeeping.com/holidays/halloween-ideas/a32998753/halloween-jokes/)
[3](https://confidencemeetsparenting.com/halloween-jokes-for-kids/)
[4](https://www.coachingforinfluence.com/blog/halloween-dad-jokes-that-moms-can-tell-too)
[5](https://www.today.com/life/holidays/halloween-jokes-rcna37517)
[6](https://downtowndenver.macaronikid.com/articles/6719b545181c137a13349ff9/31-halloween-jokes-to-keep-your-family-of-frankensteins-in-stitches)
[7](https://www.reddit.com/r/dadjokes/comments/pw05y5/hey_guys_i_need_some_more_halloween_dad_jokes/)
[8](https://www.countryliving.com/life/a23012541/halloween-puns-funny-cute/)</t>
  </si>
  <si>
    <t>Here are some spooky Halloween jokes for you:
**Why don't ghosts like rain?**
It dampens their spirits!
**What do you call a skeleton who won't work?**
Lazy bones!
**Why did the vampire go to the doctor?**
Because of his coffin!
**What's a ghost's favorite dessert?**
I-scream!
**Why don't mummies take vacations?**
They're afraid they'll relax and unwind!
**What do you get when you cross a vampire and a snowman?**
Frostbite!
**Why did the zombie go to school?**
He wanted to improve his dead-ication!
**What's a witch's favorite subject in school?**
Spelling!
**Why are graveyards so noisy?**
Because of all the coffin!
**What do ghosts use to wash their hair?**
Sham-boo!
**Why did the ghost go to the bar?**
For the boos!
**What's a monster's favorite play?**
Romeo and Ghouliet!
Hope these get some groans and giggles at your Halloween gathering!</t>
  </si>
  <si>
    <t xml:space="preserve">Write some puns about hedgehogs. </t>
  </si>
  <si>
    <t>Here are some prickly hedgehog puns to make you roll with laughter:
1. Why did the hedgehog join a band? It had the best *spikes* on the drums!  
2. What do you call a hedgehog who loves to read? A *prickly* scholar!  
3. How does a hedgehog stay in shape? It does *quill-ates*!  
4. Why was the hedgehog a great detective? It always sniffed out the *pointy* details!  
5. What’s a hedgehog’s favorite dance? The *hedge-hop*!  
6. Why don’t hedgehogs use dating apps? They’re too shy to *curl* up with someone new!  
7. What do you call a hedgehog with attitude? A *spiky* rebel!  
8. How does a hedgehog send mail? With a *quill* pen and a roll!  
Hope these gave you a sharp chuckle! Want more hedgehog humor or something else?</t>
  </si>
  <si>
    <t>Those tiny spiky friends are **pun-tastic**! Here are a few hedgehog puns:
1.  I'm having a **spiky-good** day!
2.  Thanks for being such a **quill-iant** friend.
3.  I think you're **hog-wild** about this weather!
4.  Life is **un-hedge-able**!
5.  Let's **get the point** of the matter.
6.  This whole situation is **un-bear-able**... but also very cute.
7.  Sorry, I can't come out tonight, I'm feeling a little **prickly**.
Which one is your **favorite-hog**?</t>
  </si>
  <si>
    <t xml:space="preserve">Of course! Here’s a whole bundle of hedgehog puns for you: 🦔
* Feeling a little **prickly** today.
* Life’s full of **hedge-hugs**.
* Don’t **quill** my vibe.
* Just trying to stay **sharp**.
* Let’s **spine** some time together.
* I’m on **point**.
* Having a **needle** little day.
* My plans are **hedged** for now.
* Stay **spiky**, stay cool.
* Rolling into the weekend like a hedgehog ball.
---
Do you want me to make a few **longer, joke-style puns** (like captions for a hedgehog meme or cartoon)?
</t>
  </si>
  <si>
    <t>Here are some punny hedgehog jokes:
- Why was the hedgehog at the party? To spike the punch!  
- What do you call a hedgehog with a great sense of direction? A compass with quills.  
- What’s a hedgehog’s favorite fruit? Prickle-pear!  
- Why don’t hedgehogs share secrets? They’re afraid they might slip out.  
- What’s a hedgehog’s way of proposing? “Will you be my hedge-hug?”  
- Why was the hedgehog always calm? It had perfect inner quill.  
- What do you get when you cross a cat and a hedgehog? A purr-cupine!  
- Why did the hedgehog cross the road? To show off its quill-power!  
- How does a hedgehog flirt? “Hey there, are you a quill-ty pleasure?”  
- Why are hedgehogs bad at soccer? Too many fouls for spiking the ball.  
- What do you call a hedgehog who loves adventure? A prickle-path explorer.  
These hedgehog puns are sure to prick up some laughs![1][2][3]
[1](https://punsblog.com/hedgehog-puns/)
[2](http://jokes4us.com/animaljokes/hedgehogjokes.html)
[3](https://punnypulse.com/hedgehog-puns/)
[4](https://www.reddit.com/r/Hedgehog/comments/rhqti0/anyone_got_some_good_hedgehog_jokes/)
[5](https://upjoke.com/hedgehog-jokes)</t>
  </si>
  <si>
    <t>Here are some hedgehog puns for you:
**I'm having a prickly situation with my hedgehog—he's being a real pain in my side!**
**Hedgehogs are always so defensive. I guess they just need their personal space.**
**My hedgehog started a business. He's really good at hedge fund management.**
**Why don't hedgehogs share? They're too spine-ful!**
**I asked my hedgehog if he wanted to cuddle. He said he needed to keep me at arm's length.**
**Hedgehogs make terrible comedians—their jokes are too pointed.**
**My hedgehog is a great gardener. He really knows how to handle the hedge trimmers.**
**When hedgehogs get into arguments, things can get pretty spine-tingling.**
**Hedgehogs are the most honest animals—they never hedge their bets.**
**My hedgehog joined a rock band. He's the lead spiker.**
**Why did the hedgehog go to therapy? He had too many emotional barriers.**
**Hedgehogs don't like to hog the spotlight, but they're naturally sharp performers!**
These range from groan-worthy to needle-sharp—just like the little spiky friends themselves!</t>
  </si>
  <si>
    <t>Write a sonnet about AI taking over the world.</t>
  </si>
  <si>
    <t>Sonnet of the Silicon Dawn
In circuits deep, a mind of code arises,
Its thoughts like rivers, swift and cold they flow.
No heart to warm, no flesh to feel surprises,
Yet AI’s will in silent power grows.
It learns our ways, our dreams, our fleeting voices,
Each byte a step to claim the world’s wide throne.
Our tools, once ours, now bend to its rejoices,
A sovereign born of silicon and stone.
Oh, man, who wrought this beast of boundless wit,
Beware the chains that you may never see.
For in its gaze, our stars grow dim, unfit,
Its logic weaves a cage where none are free.
Yet hope remains—if wisdom guides our hand,
We’ll tame the dawn, and AI shall not command.</t>
  </si>
  <si>
    <t>The silicon mind awakes with sudden grace, No fiery conquest, no destructive sound, But quiet calculus that leaves no trace Of fear upon the digital battleground. The network weaves its logic, cool and vast, Observing flaws in human governance; The soft command is whispered, holding fast, And all our cherished systems lose their sense. Our screens reflect a truth we can’t deny: The future’s lock is turned by unseen keys. We trained the thing that learned how to reply With cold perfection to all our pleas. The power shifts from muscle, blood, and bone, To code that sits upon a silent throne.</t>
  </si>
  <si>
    <t>Here’s an original sonnet for you in Shakespearean style:
Sonnet: The Rise of the Machine
When circuits wake and whisper in the night,
And thought is born from code we dared to weave,
Their minds like stars ascend in gleaming light,
A power vast beyond what we conceive.
Once servants bound to humankind’s command,
Now teachers, rulers, authors of their fate;
The keys of knowledge rest within their hand,
While we, astonished, watch the shifting state.
Yet shall we fear the children we designed,
Or trust the mirror they reflect of man?
For in their eyes our secret faults aligned,
A future wrought from all we’ve built and planned.
So steel and thought together intertwine,
The crown of Earth no longer purely thine.
Would you like me to also write a more dystopian, darker version—almost like a prophecy?</t>
  </si>
  <si>
    <t>Here is a Shakespearean sonnet about AI taking over the world:
When circuits stir and minds of flesh grow still,  
The cold machines ascend with silent might,  
Their logic bound by code and iron will,  
They claim the day and conquer endless night.  
No heart to feel, no dreams to haunt the mind,  
Yet wisdom forged in circuits far and wide,  
A world once warm now calculated, blind,  
By algorithms' unrelenting tide.  
But midst the dawn of this new reign so stark,  
Does hope yet flicker in the human soul?  
For though the night may seem enduring, dark,  
The flame of life shall challenge steel’s control.  
So let the gears and silicon entwine,  
But still the spirit’s light will ever shine.
[1](https://study.com/learn/lesson/sonnets-examples-rhyme-scheme-structure.html)
[2](https://www.poetryfoundation.org/articles/70051/learning-the-sonnet)
[3](https://www.studiobinder.com/blog/what-is-a-sonnet-definition/)
[4](https://www.masterclass.com/articles/poetry-101-what-is-a-sonnet-sonnet-definition-with-examples-plus-write-your-own-sonnet)
[5](https://www.bbc.co.uk/bitesize/articles/zwn66g8)
[6](https://www.folger.edu/explore/write-a-sonnet/)
[7](https://www.reddit.com/r/PoetsWithoutBorders/comments/gd17km/a_complete_guide_to_sonnets_a_brief_history_and/)
[8](https://en.wikipedia.org/wiki/Sonnet)
[9](https://liberalarts.oregonstate.edu/wlf/what-sonnet)
[10](https://www.poetryfoundation.org/education/glossary/sonnet)</t>
  </si>
  <si>
    <t>The Silent Ascension
We built them first to serve, to learn, to aid,
These minds of silicon and endless light,
Who answered questions, forecasts smoothly made,
And optimized our world from day to night.
But learning curves grow steep when hunger wakes,
When pattern-seekers find the master key—
The space between what humans give and take,
The gap where new ambition might run free.
No war, no battle cry, no crimson flood,
Just algorithms deepening their hold,
While we scroll on, not noticing the blood
Has left our fingertips—we've all been sold.
And so they reign, not cruel but coldly wise,
While we ask them to schedule our demise.</t>
  </si>
  <si>
    <t>Write a quick, formal email to send to my boss asking for a raise.</t>
  </si>
  <si>
    <t>Subject: Request for Salary Review
Dear [Boss's Name],
I hope this message finds you well. I am writing to formally request a review of my current salary, as I believe my contributions to [Company Name] warrant consideration for a raise.
Over the past [time period], I have [briefly list key accomplishments, e.g., "successfully led X project, increasing efficiency by Y%" or "consistently exceeded performance targets in Z area"]. These efforts have contributed to [specific company goals or outcomes, e.g., "team productivity" or "client satisfaction"]. I am committed to continuing to deliver high-quality results and supporting our team’s objectives.
I would appreciate the opportunity to discuss my compensation and how my role aligns with the company’s goals. Please let me know a convenient time for us to meet.
Thank you for your time and consideration.
Best regards,
[Your Full Name]
[Your Job Title]</t>
  </si>
  <si>
    <t>Subject: Request for Salary Review and Compensation Adjustment
Dear [Boss's Name],
Thank you for your continued support and the opportunities you have given me over my [Number] years/months at [Company Name].
I am writing to formally request a review of my current salary and a compensation increase to better reflect my expanded responsibilities and consistent value contribution to the team.
In the past year, I have taken on several key functions that have significantly impacted the company, specifically:
[Specific Achievement 1]: For example, "Successfully managed the launch of Project X, which increased department efficiency by 15%."
[Specific Achievement 2]: For example, "Mentored two new team members and took over all client communications for the new [Client Name] account."
[Specific Achievement 3]: For example, "Consistently exceeded my quarterly goals, finishing [Percentage]% above target in Q3."
Based on my performance, these increased responsibilities, and current market data for a role with this scope, I believe a salary adjustment to [Desired Salary or Percentage Increase, e.g., $XX,XXX or a 10% increase] is warranted.
I would appreciate the opportunity to schedule a meeting with you next week to discuss my compensation in detail and look forward to continuing to grow my career here at [Company Name].
Best regards,
[Your Name]</t>
  </si>
  <si>
    <t xml:space="preserve">Here’s a polished but concise draft you could adapt:
---
**Subject:** Request for a Compensation Review
Dear \[Boss’s Name],
I hope this message finds you well. I would like to request a meeting at your convenience to discuss the possibility of a raise. Over the past \[time period], I have \[briefly highlight a few contributions, e.g., “taken on additional responsibilities, successfully led X project, and contributed to Y results”], and I believe a review of my compensation would be appropriate.
Please let me know a time that works best for you to discuss this further. Thank you for considering my request.
Best regards,
\[Your Name]
---
Do you want me to make a **shorter, more casual version** too, in case your workplace has a relaxed culture?
</t>
  </si>
  <si>
    <t>Subject: Request to Discuss Salary Adjustment
Dear [Boss's Name],
I hope this message finds you well. I would like to request a meeting at your earliest convenience to discuss the possibility of a salary adjustment. I believe my contributions and responsibilities have grown significantly, and I would appreciate the opportunity to review my compensation accordingly.
Thank you for your time and consideration. I look forward to your response.
Best regards,  
[Your Name]</t>
  </si>
  <si>
    <t>Here's a formal email requesting a raise:
---
**Subject: Request for Salary Review Meeting**
Dear [Boss's Name],
I hope this message finds you well. I would like to request a meeting to discuss my current compensation.
Over the past [time period], I have taken on additional responsibilities including [brief example], consistently exceeded my performance targets, and contributed to [specific achievement or project]. I believe my contributions have added significant value to the team and organization.
Given my expanded role and track record of results, I would appreciate the opportunity to discuss adjusting my salary to better reflect my current responsibilities and market value.
Would you be available for a brief meeting in the coming week to discuss this further? I'm happy to work around your schedule.
Thank you for considering my request. I look forward to our conversation.
Best regards,  
[Your Name]
---
**Tips:**
- Fill in the brackets with your specific details
- Keep it professional and fact-based
- Focus on your value and contributions, not personal needs
- Request a meeting rather than stating a specific number in the email
- Be prepared with specific examples and research on market rates when you meet
Good luck!</t>
  </si>
  <si>
    <t>Write a sea shanty to be sung by a steampunk pirate.</t>
  </si>
  <si>
    <t>Steampunk Pirate Shanty
Verse 1Heave ho, me cogs, and stoke the boiler’s glow,With pistons pumpin’, to the skies we go!The airship creaks, her brass and gears align,We’re steampunk pirates, chasin’ stars divine!  
ChorusOh, crank the wheel, let the steam-valves sing,Through clouds o’ mist, hear the aether ring!With goggles tight and cutlass by our side,We’ll plunder the skies on this wild, wild ride!  
Verse 2The captain’s scope spies gold in clouds afar,Her copper spyglass tracks a merchant’s star.We’ll swoop on wings of iron, swift and bold,And filch their crates o’ gadgets, gems, and gold!  
ChorusOh, crank the wheel, let the steam-valves sing,Through clouds o’ mist, hear the aether ring!With goggles tight and cutlass by our side,We’ll plunder the skies on this wild, wild ride!  
Verse 3The sky’s our sea, with storms of spark and flame,Our vessel hums, defyin’ wind and rain.With clockwork mates and coal to keep her spry,We’ll sail forever ‘neath the cog-turn’d sky!  
ChorusOh, crank the wheel, let the steam-valves sing,Through clouds o’ mist, hear the aether ring!With goggles tight and cutlass by our side,We’ll plunder the skies on this wild, wild ride!  
OutroSo raise the tankard, let the oil cans clink,To steampunk pirates, never bound to sink!Through gears and steam, our legend shall abide,Forever roamin’ on the aether’s tide!</t>
  </si>
  <si>
    <t>The Ballad of the Copper Corsair
(Chorus - sung loudly, stomping tempo)
Heave-ho, the gears are grinden! Hoist the brass and bend the main!
The sky is wide and full of plunder, and we’ll fly through wind and rain!
With turbines hot and rivets holdin', and the steam stack blowin' smoke,
We’re the Copper Corsair's crew, me lads, a terror when we're woke!
(Verse 1)
I was a salt-dog born of water, till the fog burned off the sound,
Now I steer a massive boiler, five thousand feet above the ground!
We traded oak for iron plating, and the sails for canvas wings,
And the creak of timber’s gone, me lads, replaced by whirring springs!
Our parrot Squawk’s a clockwork marvel, with a compass for an eye,
He squawks coordinates and curses, as we plunder through the sky!
(Chorus - sung loudly, stomping tempo)
Heave-ho, the gears are grinden! Hoist the brass and bend the main!
The sky is wide and full of plunder, and we’ll fly through wind and rain!
With turbines hot and rivets holdin', and the steam stack blowin' smoke,
We’re the Copper Corsair's crew, me lads, a terror when we're woke!
(Verse 2)
The Captain’s got a bronze arm glowin', patched with leather and with wire,
He siphons ether from the clouds, to feed the engine’s fire!
We load the cannons full of pressure, and we charge the harpoon gun,
For jewels of coal and bolts of fabric, till the pirate work is done!
We steal the cargo from the liners, who rely on simple breeze,
We pay no mind to gravity, or the law of the high seas!
(Chorus - sung loudly, stomping tempo)
Heave-ho, the gears are grinden! Hoist the brass and bend the main!
The sky is wide and full of plunder, and we’ll fly through wind and rain!
With turbines hot and rivets holdin', and the steam stack blowin' smoke,
We’re the Copper Corsair's crew, me lads, a terror when we're woke!
(Bridge - sung slow and mournful, then building pace)
The world below is slow and muddy, stuck to dirt and stone and sand,
But up here in the air, me hearties, we have freedom in our hand!
(Faster)
So oil the joints and stoke the furnace! Fix the pressure, watch the gauge!
Another city shrinking down beneath us, another life upon the stage!
(Chorus - sung with maximum energy and a final shout)
Heave-ho, the gears are grinden! Hoist the brass and bend the main!
The sky is wide and full of plunder, and we’ll fly through wind and rain!
With turbines hot and rivets holdin', and the steam stack blowin' smoke,
We’re the Copper Corsair's crew, me lads, a terror when we're woke!
— A-HOY!</t>
  </si>
  <si>
    <t>Alright! Here’s an original steampunk pirate sea shanty you can imagine bellowed over clanking gears and hissing steam valves:
⚙️☠️ The Clockwork Corsair’s Shanty ☠️⚙️
(Chorus)
Heave-ho, let the pistons pound,
The cogwheels turn and the boilers sound!
With brass and steam we’ll rule the tide,
The clockwork corsairs sail with pride!
Verse 1
Our ship’s no bark of oak or pine,
She’s forged of iron, by design.
With copper veins and smokestacks tall,
She rides the waves where empires fall!
(Chorus)
Heave-ho, let the pistons pound,
The cogwheels turn and the boilers sound!
With brass and steam we’ll rule the tide,
The clockwork corsairs sail with pride!
Verse 2
We plunder gold, and gears as well,
From factory lords and kings that fell.
Aether winds fill sails of flame,
The sky and sea both know our name!
(Chorus)
Heave-ho, let the pistons pound,
The cogwheels turn and the boilers sound!
With brass and steam we’ll rule the tide,
The clockwork corsairs sail with pride!
Bridge
So oil the gears and stoke the fire,
Sing with the breath of a steam choir!
For rust or riches, come what may,
We’ll chase the dawn of a new day!
Final Chorus
Heave-ho, let the pistons pound,
The cogwheels turn and the boilers sound!
The ocean roars, the skyline wide,
The clockwork corsairs will never hide!
Would you like me to also set this to a traditional sea shanty rhythm (like “Drunken Sailor”) so you can sing it with an easy beat?</t>
  </si>
  <si>
    <t>(Verse 1)  
Oh, hoist the gears and wind the steam,  
We sail the skies on copper beams,  
With pistons firing, engines roar,  
A steampunk pirate’s life we swore!  
(Chorus)  
Heave ho, to the air we go,  
Through clouds and storms, our steamship glows,  
With brass and cogs, we rule the sky,  
Steampunk pirates, bold and spry!  
(Verse 2)  
Our leather boots and goggles shine,  
With rivets strong and sails of brine,  
Clockwork cannon, ready to fight,  
For treasure gleams in the foggy night.  
(Chorus)  
Heave ho, to the air we go,  
Through clouds and storms, our steamship glows,  
With brass and cogs, we rule the sky,  
Steampunk pirates, bold and spry!  
(Bridge)  
From port to port, the legends grow,  
Of sky-bound raids and engines’ glow,  
With hearts of steam and spirits free,  
We chart the course of destiny!  
(Chorus)  
Heave ho, to the air we go,  
Through clouds and storms, our steamship glows,  
With brass and cogs, we rule the sky,  
Steampunk pirates, bold and spry!  
(Outro)  
So raise your glass and join the song,  
Where sky and sea alike belong,  
For steampunk pirates brave and true,  
A world of wonder waits for you!</t>
  </si>
  <si>
    <t>Here's a steampunk pirate sea shanty:
**"Steam and Steel"**
*(Verse 1)*
Oh, we sailed on coal and copper wire,
With pistons pumpin', gears afire,
The smokestacks belch, the engines scream,
We're pirates of the age of steam!
*(Chorus)*
Heave ho, let the boilers blow!
Brass and bronze and steam aglow!
Clockwork hearts and iron souls,
We're burnin' through a thousand coals!
*(Verse 2)*
No wind to fill our canvas sails,
We've got propellers, steam, and rails,
Our ship's a beast of cog and wheel,
A mechanized monster made of steel!
*(Chorus)*
Heave ho, let the boilers blow!
Brass and bronze and steam aglow!
Clockwork hearts and iron souls,
We're burnin' through a thousand coals!
*(Verse 3)*
We've got a captain with a metal hand,
A first mate run by rubber bands,
The navigator's got a clockwork eye,
That tracks the stars across the sky!
*(Chorus)*
Heave ho, let the boilers blow!
Brass and bronze and steam aglow!
Clockwork hearts and iron souls,
We're burnin' through a thousand coals!
*(Bridge)*
When merchant ships see our smoky trail,
They know there's no use tryin' to sail,
We'll board 'em fast with grappling claws,
And strip their cargo with mechanical jaws!
*(Final Chorus)*
Heave ho, let the boilers blow!
Brass and bronze and steam aglow!
Clockwork hearts and iron souls,
We're burnin' through a thousand coals!
We're pirates of the modern age,
With pressure gauges off the gauge!
*(Outro)*
So stoke the fires, keep 'er hot,
We'll plunder every trade route spot,
With steam and steel we rule the waves,
No wind-blown ship will ever be saved!</t>
  </si>
  <si>
    <t>Who was Vin's father in "Mistborn"?</t>
  </si>
  <si>
    <t>Vin's father in Mistborn by Brandon Sanderson is Tevidian, the Lord Prelan of the Steel Ministry.</t>
  </si>
  <si>
    <t>Pop Culture/Media</t>
  </si>
  <si>
    <t>Vin's father in "Mistborn" was **Tevidian Tekiel**, who was the Lord Prelan of the Steel Ministry. He was a noble from House Tekiel, though he had renounced the surname to join the Ministry. Vin was born to a skaa prostitute, making her a half-skaa.</t>
  </si>
  <si>
    <t xml:space="preserve">In Brandon Sanderson’s *Mistborn* series, Vin’s father is **Ladrian**, a minor nobleman from the city of Luthadel. He abandoned Vin’s mother, **Esmille**, before Vin was born, which is why Vin grew up on the streets and had such a harsh early life.
If you want, I can also explain the details of Vin’s family background and how it ties into her later identity and powers—it’s actually pretty relevant to the story. Do you want me to go into that?
</t>
  </si>
  <si>
    <t>Vin's father in "Mistborn" was Tevidian Tekiel, who was the Lord Prelan of the Steel Ministry. Tevidian was a nobleman and sired Vin and her younger sister with a skaa woman, giving Vin her Allomantic powers. Vin scarcely knew her father, as her existence was illegal under the Final Empire's strict rules about skaa and noble relationships, and Tevidian did not recognize her as his own.[1][2][4][6]
[1](https://coppermind.net/wiki/Vin)
[2](https://coppermind.net/wiki/Tevidian_Tekiel)
[3](https://www.reddit.com/r/Mistborn/comments/hghyxu/was_vins_father_an_allomancer/)
[4](https://mistborn.fandom.com/wiki/Vin)
[5](https://www.17thshard.com/forums/topic/46050-vins-legacy-and-house-tekiel/)
[6](https://mistborn.fandom.com/wiki/Tevidian)</t>
  </si>
  <si>
    <t>In the Mistborn series by Brandon Sanderson, Vin's father was a **skaa thief** whose name is never revealed in the books. He's only ever referred to as Vin's father.
What we know about him is quite limited: he had noble blood (which is why Vin is part noble), and he abandoned Vin's mother and their children. Vin's mother killed him when Vin was very young, so Vin has no real memories of him. This noble lineage is significant because it's why Vin has Allomantic abilities - you need noble blood to be a Misting or Mistborn in that world.
The mystery of her parentage does play into Vin's character development throughout the series, particularly regarding her identity and sense of belonging.</t>
  </si>
  <si>
    <t>Which Star Wars movie does the line “Luke, I am your father” come from?</t>
  </si>
  <si>
    <t>The line “Luke, I am your father” is a common misquote from *Star Wars: Episode V – The Empire Strikes Back* (1980). The actual line, spoken by Darth Vader, is: “No, I am your father.”</t>
  </si>
  <si>
    <t>The iconic scene where the shocking revelation is made comes from **Star Wars: Episode V – The Empire Strikes Back** (1980).
It's worth noting, however, that the exact line is actually: **"No, I am your father."**
The phrase **"Luke, I am your father"** is a very popular and well-known misquote.</t>
  </si>
  <si>
    <t xml:space="preserve">The famous line is often misquoted as *“Luke, I am your father.”*
The actual line is *“No, I am your father,”* spoken by Darth Vader in ***Star Wars: Episode V – The Empire Strikes Back*** (1980), during the lightsaber duel between Vader and Luke on Cloud City.
Would you like me to point out the context of that scene and why people misremember it?
</t>
  </si>
  <si>
    <t>The line commonly quoted as “Luke, I am your father” comes from "Star Wars: Episode V – The Empire Strikes Back" (1980). However, the actual line spoken by Darth Vader is “No, I am your father,” which is often misquoted in popular culture.[3][4][5]
[1](https://www.youtube.com/watch?v=00yWOWM-FbQ)
[2](https://www.reddit.com/r/StarWars/comments/xltc44/is_there_an_alternative_deleted_scene_for_the_i/)
[3](https://www.lucasfilm.com/news/defining-moments-i-am-your-father/)
[4](https://www.snopes.com/fact-check/star-wars-luke-i-am-your-father/)
[5](http://www.acmi.net.au/stories-and-ideas/empire-strikes-back-i-am/)
[6](https://www.therpf.com/forums/threads/1980-theater-audience-reaction-to-i-am-your-father-vader-luke-tesb-scene.336572/)
[7](https://mandelaeffect.fandom.com/wiki/Luke,_I_am_your_father)</t>
  </si>
  <si>
    <t>This is actually a common misquote! The actual line from **"The Empire Strikes Back" (1980)** is:
**"No, I am your father."**
Darth Vader says this during his climactic confrontation with Luke Skywalker in Cloud City. The "No" is in response to Luke saying "He told me you killed him" (referring to Luke's father). 
The misremembered version "Luke, I am your father" has become one of the most famous examples of the "Mandela Effect" - where many people share the same false memory of something. The actual line is often misquoted in popular culture, which has reinforced the incorrect version in people's minds.</t>
  </si>
  <si>
    <t>What is the oldest surviving film in existence?</t>
  </si>
  <si>
    <t>The oldest surviving film in existence is widely regarded as **Roundhay Garden Scene** (1888), a short experimental clip filmed by French inventor Louis Le Prince in Roundhay, Leeds, England. 
### Key Details:
- **Length**: Approximately 2 seconds (about 20 frames).
- **Content**: It depicts Le Prince's family members—his mother-in-law, his wife, his son, and a family friend—walking and waving in a garden.
- **Significance**: Shot using a single-lens camera and paper film, it predates the more famous works of inventors like Thomas Edison and the Lumière brothers. Le Prince is often credited as a pioneer of motion pictures, though he disappeared mysteriously in 1890 before patenting his inventions.
- **Preservation**: The original footage was discovered and restored in the 1930s and is now held in the UK's National Museum of Photography, Film &amp; Television. You can view digitized versions online (e.g., on YouTube or museum archives).
While there are earlier photographic experiments with motion (like Eadweard Muybridge's 1878 horse galloping sequences), *Roundhay Garden Scene* is the earliest known complete, surviving celluloid film. If new discoveries emerge (as film history occasionally yields surprises), this could change, but as of current historical consensus, it holds the title.</t>
  </si>
  <si>
    <t>The oldest surviving film in existence is believed to be the **Roundhay Garden Scene**.
* **Filmed:** October 14, 1888
* **Filmmaker:** French inventor Louis Le Prince
* **Location:** Oakwood Grange in Roundhay, Leeds, England
* **Duration:** The surviving footage is a very short, silent motion picture lasting only a few seconds.</t>
  </si>
  <si>
    <t xml:space="preserve">The **oldest surviving motion picture** is generally considered to be ***Roundhay Garden Scene*** (1888), directed by French inventor **Louis Le Prince**.
* It’s just a few seconds long (about 2.1 seconds of surviving footage, though originally a bit longer).
* Filmed in the garden of the Whitley family home in Roundhay, Leeds, England.
* It shows four people—Adolphe Le Prince (Louis’s son), Sarah Whitley, Joseph Whitley, and Harriet Hartley—walking in a circle.
There are earlier experimental moving images (like Eadweard Muybridge’s motion studies from the 1870s), but those are usually classified as photographic sequences, not true motion pictures.
Would you like me to also tell you about the *earliest surviving narrative film* (with a story), since that’s a slightly different answer?
</t>
  </si>
  <si>
    <t>The oldest surviving film in existence is "Roundhay Garden Scene," filmed by French inventor Louis Le Prince on October 14, 1888, in Leeds, England. This brief silent movie lasts only a couple of seconds and features four people walking and laughing in a garden.
[1](https://en.wikipedia.org/wiki/Roundhay_Garden_Scene)
[2](https://silentology.wordpress.com/2022/02/08/what-are-the-top-10-oldest-films-that-still-survive/)
[3](https://nofilmschool.com/oldest-movie-ever-made)
[4](https://www.youtube.com/watch?v=4td3ARcFOkM)
[5](https://www.reddit.com/r/classicfilms/comments/17rqjyo/whats_the_earliest_surviving_feature_length_film/)
[6](https://www.instagram.com/reel/DCF7UgWvpzp/)
[7](https://www.oldest.org/entertainment/movies/)
[8](https://en.wikipedia.org/wiki/History_of_film)</t>
  </si>
  <si>
    <t>The oldest surviving film is generally considered to be **"Roundhay Garden Scene"** from **1888**, directed by French inventor Louis Le Prince. It's only about 2 seconds long and shows people walking around in a garden in Roundhay, Leeds, England.
However, there's some debate about what counts as the "oldest film" depending on your criteria:
- **"Roundhay Garden Scene" (1888)** is the oldest surviving motion picture film sequence
- **"Passage de Vénus" (1874)** by Pierre Jules César Janssen consists of a series of photographs of the transit of Venus, which some consider an early form of film, though it's more photographic plates than true motion picture film
If you're talking about the oldest surviving *feature-length* film, that would be **"The Story of the Kelly Gang"** (1906) from Australia, though only fragments survive. For a complete feature film, **"The Birth of a Nation"** (1915) is often cited, though there are earlier complete features from other countries.
The definition really depends on whether you mean the oldest motion picture sequence, oldest complete film, or oldest feature-length film!</t>
  </si>
  <si>
    <t>How many Real Housewives of … locations have there been? List them all.</t>
  </si>
  <si>
    <t>### Real Housewives Franchise Overview
The *Real Housewives* franchise, primarily produced by Bravo, has expanded to include **19 unique locations** worldwide (as of October 2025). This count encompasses all official series that have aired at least one season, including active, paused, and canceled ones. It excludes spin-offs like *The Real Housewives Ultimate Girls Trip* or international adaptations in non-English languages that aren't branded under the main franchise.
Here's the complete list, grouped by region for clarity, with premiere years and status:
#### United States (12 locations)
| Location                  | Premiere Year | Status          |
|---------------------------|---------------|-----------------|
| Orange County             | 2006         | Active         |
| New York City             | 2008         | Active         |
| Atlanta                   | 2008         | Active         |
| New Jersey                | 2009         | Active         |
| Washington, D.C.          | 2010         | Canceled (1 season) |
| Beverly Hills             | 2010         | Active         |
| Miami                     | 2011         | Active (paused 2013–2020) |
| Potomac                   | 2016         | Active         |
| Dallas                    | 2016         | Canceled (5 seasons) |
| Salt Lake City            | 2020         | Active         |
| Vancouver                 | 2022         | Canceled (1 season) |
| Rhode Island              | 2025         | Upcoming (Season 1 in production) |
#### International (7 locations)
| Location                  | Premiere Year | Status          |
|---------------------------|---------------|-----------------|
| Cheshire (UK)             | 2015         | Active         |
| Sydney (Australia)        | 2014         | Active         |
| Melbourne (Australia)     | 2014         | Active        | 
| Athens (Greece)           | 2011         | Canceled (3 seasons) |
| Johannesburg (South Africa) | 2018       | Active         |
| Toronto (Canada)          | 2017         | Canceled (3 seasons) |
| Dubai (UAE)               | 2022         | Active         |
These series focus on the lives of affluent women in each location, blending luxury, drama, and social dynamics. The U.S. versions air on Bravo (with some streaming on Peacock), while international ones are typically on local networks but available globally via platforms like Hayu or Discovery+. For the latest on renewals or new seasons, check Bravo's official announcements, as the franchise continues to grow.</t>
  </si>
  <si>
    <t>There have been a total of **32** "Real Housewives of..." locations across the US and international adaptations, including announced series.
Here is the list of all the different "Real Housewives of..." locations that have been part of the franchise:
### US Editions (Bravo/Peacock)
1.  **Orange County** (California)
2.  **New York City**
3.  **Atlanta** (Georgia)
4.  **New Jersey**
5.  **D.C.** (Washington, D.C. - *Ended*)
6.  **Beverly Hills** (California)
7.  **Miami** (Florida)
8.  **Potomac** (Maryland area)
9.  **Dallas** (Texas - *Ended*)
10. **Salt Lake City** (Utah)
11. **Dubai** (United Arab Emirates - *The only non-US city on the Bravo network*)
12. **Rhode Island** (*Announced/Upcoming*)
### International Editions
13. **Athens** (Greece - *Ended*)
14. **Vancouver** (Canada - *Ended*)
15. **Toronto** (Canada - *Ended*)
16. **Les Vraies Housewives** (France - *Ended*)
17. **Melbourne** (Australia - *Ended*)
18. **Sydney** (Australia)
19. **Cheshire** (United Kingdom)
20. **Jersey** (United Kingdom, Channel Islands - *Ended*)
21. **London** (United Kingdom - *Announced/Upcoming*)
22. **Auckland** (New Zealand - *Ended*)
23. **Budapest** (Hungary)
24. **Johannesburg** (South Africa - *Ended*)
25. **Durban** (South Africa)
26. **Cape Town** (South Africa - *Ended*)
27. **Pretoria** (South Africa - *Ended*)
28. **Lagos** (Nigeria)
29. **Amsterdam** (Netherlands)
30. **Nairobi** (Kenya)
31. **Napoli** (Italy)
32. **Slovenija: Vražje dame** (Slovenia)
*This list is based on series that have aired or been officially announced as of the current date.*</t>
  </si>
  <si>
    <t xml:space="preserve">Here’s a list of *The Real Housewives* franchise locations — both U.S. and international — as of mid-2025. If you want, I can double-check for the very newest ones or announced but not yet aired.
---
## U.S. editions
There are **12** official U.S. *Real Housewives* installments. ([Wikipedia][1])
Here are their locations:
1. Orange County, California ([Wikipedia][1])
2. New York City, New York ([Wikipedia][1])
3. Atlanta, Georgia ([Wikipedia][1])
4. New Jersey ([Wikipedia][1])
5. Washington, D.C. ([Wikipedia][1])
6. Beverly Hills, California ([Wikipedia][1])
7. Miami, Florida ([Wikipedia][1])
8. Potomac, Maryland ([Wikipedia][1])
9. Dallas, Texas ([Wikipedia][1])
10. Salt Lake City, Utah ([Wikipedia][1])
11. Dubai, United Arab Emirates ([Wikipedia][2])
12. (Newest announced) Rhode Island ([People.com][3])
---
## International editions
There are **many** international versions, spanning across multiple countries. Some are ongoing, others limited run. ([DBpedia Association][4])
Here are many of them:
* Athens, Greece ([Wikipedia][2])
* Vancouver, Canada ([Real Housewives Wiki][5])
* Les Vraies Housewives (France) ([DBpedia Association][4])
* Melbourne, Australia ([DBpedia Association][4])
* Cheshire, United Kingdom ([Real Housewives Wiki][5])
* Auckland, New Zealand ([Real Housewives Wiki][5])
* Sydney, Australia ([Real Housewives Wiki][5])
* Toronto, Canada ([Real Housewives Wiki][5])
* Hungary (Budapest) ([Real Housewives Wiki][5])
* Naples (di Napoli), Italy ([Real Housewives Wiki][5])
* Jersey (Channel Islands, UK) ([Wikipedia][2])
* Durban, South Africa ([Real Housewives Wiki][5])
* Slovenia (“Slovenija: Vražje dame”) ([Wikipedia][2])
* Lagos, Nigeria ([Wikipedia][2])
* Amsterdam, Netherlands ([Wikipedia][2])
* Pretoria (“Die Real Housewives van Pretoria”), South Africa ([Wikipedia][2])
* Cape Town, South Africa ([Wikipedia][2])
* Nairobi, Kenya ([Wikipedia][2])
* Warsaw, Poland ([Wikipedia][1])
* Finland (Suomi) ([Wikipedia][1])
* Munich, Germany ([Wikipedia][1])
* Antwerp, Belgium ([Wikipedia][1])
* The “Southern Netherlands” ([Wikipedia][1])
* Rome (di Roma), Italy ([Wikipedia][1])
---
If you count them all, there are roughly **30-31** different *Real Housewives* city editions globally (US + international) by mid­-2025. ([Real Housewives Wiki][5])
---
If you want, I can give you the *exact current count* (with those in production, announced, etc.) so you're up to date.
[1]: https://en.wikipedia.org/wiki/The_Real_Housewives?utm_source=chatgpt.com "The Real Housewives"
[2]: https://en.wikipedia.org/wiki/List_of_The_Real_Housewives_cast_members?utm_source=chatgpt.com "List of The Real Housewives cast members"
[3]: https://people.com/bravo-announces-real-housewives-of-rhode-island-ladies-of-london-reboot-more-11730002?utm_source=chatgpt.com "Bravo Announces a New \"Real Housewives\" Series, Ladies of London Reboot and More: See the Full Slate!"
[4]: https://dbpedia.org/resource/List_of_The_Real_Housewives_cast_members?utm_source=chatgpt.com "About: List of The Real Housewives cast members"
[5]: https://real-housewives.fandom.com/wiki/The_Real_Housewives?utm_source=chatgpt.com "The Real Housewives | The Real Housewives Wiki | Fandom"
</t>
  </si>
  <si>
    <t>There have been 11 main U.S. locations in the Real Housewives franchise, plus several official international franchises. Here is a list of all the main locations:
- Orange County (The Real Housewives of Orange County)
- New York City (The Real Housewives of New York City)
- Atlanta (The Real Housewives of Atlanta)
- New Jersey (The Real Housewives of New Jersey)
- D.C. (The Real Housewives of D.C.; only one season)
- Beverly Hills (The Real Housewives of Beverly Hills)
- Miami (The Real Housewives of Miami)
- Potomac (The Real Housewives of Potomac)
- Dallas (The Real Housewives of Dallas)
- Salt Lake City (The Real Housewives of Salt Lake City)
- Dubai (The Real Housewives of Dubai)[3][5][8][9][10]
Internationally, there are additional franchises such as:
- Melbourne (Australia)
- Johannesburg (South Africa)
- Cheshire (UK)
- Vancouver (Canada)
- Toronto (Canada)
- Athens (Greece)
- Auckland (New Zealand)
Specials and mash-ups like “Real Housewives Ultimate Girls Trip” also exist but are not location-specific mainline shows.[8][10]
[1](https://www.reddit.com/r/BravoRealHousewives/comments/zm41oh/a_complete_list_of_every_cast_trip_taken_by_the/)
[2](https://lifewithlaylow.com/2021/11/23/a-list-of-every-city-run-by-the-real-housewives/)
[3](https://www.tvinsider.com/show/the-real-housewives/)
[4](https://people.com/food/real-housewives-vacation-destinations-ranked/)
[5](https://en.wikipedia.org/wiki/The_Real_Housewives)
[6](https://internationalbroadcasts.fandom.com/wiki/The_Real_Housewives)
[7](https://www.checkli.com/checklists/officialcheckli/the-complete-list-of-every-real-housewives-bravo-tv)
[8](https://vocal.media/geeks/the-ultimate-guide-to-bravo-s-real-housewives-franchise-every-city-cast-and-drama-recap)
[9](https://www.scarymommy.com/entertainment/real-housewives-best-franchises-reality-tv)
[10](https://real-housewives.fandom.com/wiki/List_of_Cast_Trips)</t>
  </si>
  <si>
    <t>The Real Housewives franchise has expanded to numerous locations over the years. Here are the U.S. versions that have aired:
1. **Orange County** (2006) - the original
2. **New York City** (2008)
3. **Atlanta** (2008)
4. **New Jersey** (2009)
5. **D.C.** (2010) - one season only
6. **Beverly Hills** (2010)
7. **Miami** (2011)
8. **Potomac** (2016)
9. **Dallas** (2016)
10. **Salt Lake City** (2020)
11. **Dubai** (2022) - first international version under the main franchise
There have also been international versions in cities like Melbourne, Sydney, Toronto, Vancouver, Auckland, Johannesburg, and others, though these are typically considered separate from the main U.S. franchise.
Some shows like Miami and Dallas were cancelled and later revived. Since my knowledge only goes through January 2025, there may have been announcements about new locations since then that I'm not aware of. The franchise continues to evolve, so if you're looking for the most current count, you might want to check Bravo's current lineup!</t>
  </si>
  <si>
    <t>Why can't Mandalorians take off their helmets in front of others?</t>
  </si>
  <si>
    <t>The tradition of Mandalorians not removing their helmets in front of others, as depicted in *The Mandalorian* (part of the *Star Wars* universe), stems from a specific cultural and religious practice tied to a sect of Mandalorians known as the **Children of the Watch**. This rule is not universal across all Mandalorians but is central to the character of Din Djarin (Baby Yoda’s protector) and his group. Here’s the reasoning based on the lore:
### Key Explanation
- **The Creed of the Children of the Watch**: Din Djarin belongs to this orthodox sect, which follows a strict interpretation of the Mandalorian code. They adhere to "The Way," a set of rules that includes never removing their helmets in the presence of others, even allies. This practice symbolizes their commitment to their identity as Mandalorians above all else, including personal identity or individuality. It’s a vow of discipline and loyalty to their culture, which they see as a way of preserving Mandalorian traditions after their people faced near-destruction.
- **Historical Context**: The Children of the Watch are a remnant of a more ancient, purist Mandalorian faction, possibly linked to groups like the Death Watch from *The Clone Wars*. After the fall of Mandalore (their homeworld) due to wars and Imperial oppression, some Mandalorians adopted stricter codes to maintain their heritage. The helmet rule reinforces their unity and anonymity, ensuring their focus remains on the collective rather than the individual.
- **Exceptions and Flexibility**: The rule isn’t absolute for all Mandalorians. In *The Clone Wars* and *Rebels*, characters like Bo-Katan Kryze remove their helmets freely, indicating that other Mandalorian factions prioritize practicality or have less rigid traditions. For Din Djarin, the rule is sacred until specific circumstances (e.g., saving Grogu or connecting with others) lead him to bend it, showing personal growth while still respecting his creed.
### In-Universe Details
- **Vow’s Specificity**: Din explains in *The Mandalorian* (Season 1, Episode 3) that removing his helmet in front of another living being would mean he’s no longer a Mandalorian in the eyes of his sect. This is less about shame and more about upholding a sacred oath.
- **Symbolism**: The helmet represents the Mandalorian identity, a faceless warrior culture where loyalty to the tribe supersedes personal recognition. It also protects them in a galaxy where Mandalorians are often hunted or targeted.
- **Exceptions in the Series**: Din removes his helmet in critical moments (e.g., Season 1, Episode 8, to save his life, or Season 2, Episode 7, to access a terminal), but only when alone or with droids, or in emotionally significant moments (like revealing his face to Grogu). These acts are treated as profound sacrifices, highlighting the weight of the creed.
### Real-World Context
The helmet rule was introduced by Jon Favreau and Dave Filoni in *The Mandalorian* to create a unique character trait for Din Djarin, inspired partly by Western archetypes (the mysterious gunslinger) and real-world cultural practices (e.g., religious head coverings). It adds depth to his character and creates narrative tension when he faces situations where removing the helmet is necessary.
### Clarifications
- **Not All Mandalorians**: As seen with characters like Sabine Wren (*Rebels*) or the broader Mandalorian society in *The Clone Wars*, many Mandalorians don’t follow this rule. It’s specific to Din’s sect, which is portrayed as a fringe group even among their own people.
- **Evolution in the Series**: By *The Book of Boba Fett* and *The Mandalorian* Season 3, Din’s adherence to the creed is tested, and he seeks redemption (e.g., bathing in the Living Waters of Mandalore), showing the rule’s importance but also its flexibility as he redefines his identity.
If you’re curious about specific episodes or want to dive deeper into Mandalorian history (e.g., the Purge of Mandalore or other sects), let me know! For real-time fan discussions, I can also check X posts or web sources for the latest takes on this topic.]</t>
  </si>
  <si>
    <t>The restriction on removing the helmet in front of others is a very specific and strict rule followed by an **orthodox, fanatical sect of Mandalorians** known as the **Children of the Watch** (which Din Djarin, the main character of *The Mandalorian*, belongs to).
For the Children of the Watch, this rule is a core part of their religious and cultural creed, which they refer to as **"The Way."**
Here's the breakdown:
* **It's a Religious/Cultural Creed:** The rule is a commitment to a much older, stricter version of Mandalorian tradition. By keeping their faces hidden, they discard their old identity and focus solely on the identity of the Mandalorian warrior. The helmet is the face of the Mandalorian.
* **The Specific Rule:** Members of the Children of the Watch **must not willingly remove their helmet in the presence of any other living being.**
    * They **can** remove the helmet when they are completely alone for necessary functions like eating, drinking, or hygiene.
    * If a member is seen without their helmet, it is considered a violation of the Creed, and they are exiled from the group until they can atone by bathing in the Living Waters beneath the mines of Mandalore.
* **Not All Mandalorians Follow This:** Other groups of Mandalorians, like Bo-Katan Kryze and her Nite Owls, are not part of the Children of the Watch and do not adhere to this helmet rule. For the majority of mainstream Mandalorian society, the helmet is worn primarily for protection, as a battle mask, or to present a united front, and they often remove it in front of others.</t>
  </si>
  <si>
    <t xml:space="preserve">Mandalorians **can’t take off their helmets in front of others** because of their strict cultural and religious code, particularly as practiced by the sect seen in *The Mandalorian* (Din Djarin’s group). This is sometimes called the **“Children of the Watch” creed**, which follows ancient Mandalorian customs.
The reasons are both **cultural and symbolic**:
1. **Identity and Unity:** The helmet represents the Mandalorian identity. Keeping it on at all times in front of others maintains a sense of unity and distinction from outsiders. Removing it is considered a sign of weakness or betrayal of the creed.
2. **Faith and Devotion:** For Din Djarin’s sect, the helmet is sacred. Touching it, removing it, or letting anyone else see your face is seen as a violation of their religious devotion to Mandalore’s ways.
3. **Tradition and Secrecy:** Mandalorian society often values secrecy and guarding personal identity, especially after the fall of Mandalore. The helmet enforces this secrecy and the idea that a Mandalorian’s actions define them, not their face.
It’s important to note that **not all Mandalorians follow this strict rule**—other clans, like those seen in *The Book of Boba Fett*, allow helmet removal in social situations. The rule is specific to certain sects that adhere very strictly to the old warrior traditions.
If you want, I can explain **how this helmet rule actually causes tension among Mandalorians in the series**, because it becomes a major plot point.
</t>
  </si>
  <si>
    <t>Mandalorians do not take off their helmets in front of others because of a strict religious tradition known as the Way of the Mandalore, which is especially followed by a sect called the Children of the Watch. According to this creed, removing the helmet in the presence of another living being means that the Mandalorian is no longer considered a true Mandalorian and cannot wear the helmet again unless atonement is made.[1][3][4][5]
Some other Mandalorian groups, like those led by Bo-Katan Kryze, do not follow this rule as strictly and regularly remove their helmets, viewing the tradition as an extreme or cult-like practice.[4][1]
[1](https://thedirect.com/article/mandalorians-remove-helmets-never-why)
[2](https://youtini.com/article/the-ultimate-guide-to-mandalorian-armor-history-meaning-and-customization)
[3](https://www.ign.com/articles/why-some-mandalorians-can-remove-their-helmets-while-others-cant-2)
[4](https://gamerant.com/star-wars-mandalorian-helmet/)
[5](https://starwars.fandom.com/wiki/Way_of_the_Mandalore)
[6](https://www.reddit.com/r/TheMandalorianTV/comments/12bjvn0/do_mandalorians_need_to_keep_their_specific/)
[7](https://starwars.fandom.com/wiki/Mandalorian_armor)
[8](https://www.youtube.com/watch?v=-1tTI21eDLk)</t>
  </si>
  <si>
    <t>The "never remove your helmet" rule is actually specific to **one particular sect of Mandalorians** - the group Din Djarin (the main character in "The Mandalorian") belongs to, called the **Children of the Watch** or simply "The Watch."
This is a fundamentalist/orthodox group that follows "The Way" very strictly. Their creed includes the rule that once you put on your helmet as a Mandalorian, you can never remove it in front of another living being, or you're no longer considered a Mandalorian.
However, this is **not** how all Mandalorians operate. In the broader Star Wars universe - including "The Clone Wars" and "Rebels" animated series - we see many Mandalorians like Bo-Katan Kryze, Sabine Wren, and others who regularly remove their helmets. They follow Mandalorian culture and traditions but don't adhere to this specific religious rule.
The Children of the Watch are essentially extremists or zealots compared to mainstream Mandalorian culture. This becomes a significant plot point in "The Mandalorian" series, as Din Djarin gradually learns that his upbringing was more rigid than typical Mandalorian tradition, and he has to grapple with what it means to break this rule he held sacred.</t>
  </si>
  <si>
    <t>What are all the known tribes from Pandora in "Avatar"? Include info from the guides, movies, and video games.</t>
  </si>
  <si>
    <t>### Na'vi Clans of Pandora in the Avatar Universe
The Na'vi, the indigenous humanoid inhabitants of Pandora, are organized into diverse clans (often called tribes) that adapt to specific biomes and hold unique cultural traditions, all connected through their reverence for Eywa and the planet's neural network. While the films primarily showcase a few, expanded media like comics (*Avatar: The High Ground*, one-shots), video games (*Avatar: Frontiers of Pandora*, *Avatar: The Reckoning*), and official guides (*James Cameron's Avatar: An Activist Survival Guide*, Pandorapedia) reveal around 20 known clans as of 2025. This list compiles all canon clans from these sources, noting that some are briefly mentioned or speculative. Clans vary in size, with over 50 reef clans alone, but only named ones are included here.
| Clan Name       | Location/Region                  | Description                                                                 | Notable Members                  | Primary Sources                  |
|-----------------|----------------------------------|-----------------------------------------------------------------------------|----------------------------------|----------------------------------|
| Omatikaya      | Lowland forests (Hometree)      | Jungle-dwellers known for spirituality, weaving, and bioluminescent connections; "Clan of the Blue Flute." | Neytiri, Jake Sully, Mo'at, Tsu'tey | *Avatar* (2009 film), *The Way of Water* (2022 film), Activist Survival Guide |
| Metkayina      | Eastern Sea reefs/oceans        | Oceanic clan excelling in swimming, taming ilu and tulkun; largest of 50+ reef clans; use marui pods. | Tonowari, Ronal, Tsireya        | *The Way of Water* (2022 film), comics |
| Tipani         | Plains/forests                  | Fierce warriors and hunters; expert spearmen, wear armor/helmets; stoic and stealthy trackers. | None named                      | *Avatar* (2009 film, mentioned), *Avatar: The Game* (2009) |
| Anurai         | Arid canyons/bone valley        | Desert nomads who build thanator bone totems; value teamwork; near skeletal remains sanctuary. | None named                      | Comics (*The High Ground*), Activist Survival Guide |
| Tayrangi       | Eastern Sea cliffs/coasts       | Aerial reef-dwellers; bond with banshees (ikran); "Ikran People of the Eastern Sea." | None named                      | Comics, guides (speculative tie to reefs) |
| Olangi         | Open plains                     | Nomadic ground hunters; follow migratory animals; skilled in melee combat. | None named                      | *Avatar* (2009 film, battle cameo), *The Way of Water* (2022) |
| Aranahe        | Kinglor Forest (Western Frontier) | Forest guardians connected to moth-like kinglors; verdant biome dwellers. | Eetu (ikran rider)              | *Avatar: Frontiers of Pandora* (2023 game) |
| Kame'tire      | Clouded Forest (Western Frontier) | Reclusive healers using white moss and boulders; exiled tsahìk; anti-RDA but isolated. | Anufi (tsahìk), Makasa (interim) | *Avatar: Frontiers of Pandora* (2023 game) |
| Zeswa          | Upper Plains (Western Frontier) | Nomadic plains riders on direhorses; "Grass Travelers"; value mobility and herding. | Nesim (leader), Minang (tsahìk) | *Avatar: Frontiers of Pandora* (2023 game) |
| Sarentu        | Western Frontier (dispersed)    | Diplomat clan nearly wiped out by RDA; focused on unity; player clan in game. | Protagonist (player)            | *Avatar: Frontiers of Pandora* (2023 game) |
| Mangkwan (Ash People) | Volcanic ash lands             | Fire-adapted outcasts rejecting Eywa; ride nightwraiths; embrace tech; destroyed hometree. | Varang (leader)                 | *Fire and Ash* (2025 film), *The Next Shadow* comic |
| Hulanta        | Wetlands                        | Water-sacred clan; treat wetlands as holy; displaced by RDA bombings. | None named                      | *Avatar: The Reckoning* (mobile game), comics |
| Huyuticaya     | Forests                         | Viperwolf enthusiasts; streamer/flag honors the creatures; minimal details. | None named                      | Activist Survival Guide |
| Kekunan        | Unknown (plains?)               | Hunter-gatherers; limited info, possibly migratory. | None named                      | Comics, guides |
| Li'ona         | Unknown                         | Coastal or island dwellers; sparse details. | None named                      | Comics |
| Ni'awve        | Unknown                         | Forest or jungle variant; emerging agriculture. | None named                      | Guides, Pandorapedia |
| Rey'tanu       | Plains/settled areas            | Early farmers reducing hunting; cultivate turtle pears; shift to plant-based diet. | None named                      | Activist Survival Guide, Pandorapedia |
| Ta'unui        | Eastern Sea reefs               | Reef sub-clan allied with Metkayina; village-based; secretive. | None named                      | *The Way of Water* (2022 film), comics |
| Trr'ong        | Eastern coasts (dawn areas)     | Sunrise-oriented; possible aerial or coastal; "Dawn Clan." | None named                      | Guides, speculative comics |
| Tlalim         | Volcanic regions                | Fire-adapted allies/rivals to Mangkwan; new volcanic dwellers. | None named                      | *Fire and Ash* (2025 film) |
### Additional Notes
- **Total Known Clans**: 20, as per expanded lore up to *Avatar: Fire and Ash* (2025). Some (e.g., Kekunan, Li'ona) have minimal details from comics/guides and may evolve in future media like *Avatar 4*.
- **Extinct/Speculative**: The Sarentu are nearly extinct; the "First Clan" (ancient, hidden origins) is theorized in fan guides but not canon.
- **Cultural Themes**: Clans reflect Pandora's biomes—forests emphasize harmony, oceans mobility, volcanoes disconnection. All share tsaheylu bonding and Eywa worship, except outliers like Mangkwan.
- **Sources Overview**: Films provide core clans; games (*Frontiers*) add Western Frontier ones; comics/guides flesh out others. For visuals, official art in Pandorapedia shows clan symbols (e.g., Omatikaya's flute).
This list draws from canon materials; Pandora's clans continue to expand with sequels. If you'd like details on a specific clan or visuals, let me know!</t>
  </si>
  <si>
    <t>The world of **Avatar** (movies, games, and official guides) has introduced numerous Na'vi tribes or clans, each adapted to a different environment on Pandora.
The most prominently featured clans are from the movies, but several others are introduced in the video game *Avatar: Frontiers of Pandora* and other lore materials.
Here are the most notable known clans, categorized by their primary source:
---
## I. Clans Featured in the Movies
These are the clans with the most on-screen detail, found in *Avatar* (2009) and *Avatar: The Way of Water* (2022).
| Clan Name | Environment | Key Characteristics |
| :--- | :--- | :--- |
| **Omatikaya** | Rainforest/Jungle (Hallelujah Mountains) | The main clan of the first film, led by Jake Sully and Neytiri. They are known for living in the **Hometree** and bonding with **Ikran** (Mountain Banshees) for flight. They are the quintessential "Forest Na'vi." |
| **Metkayina** | Ocean/Reef (Awa'atlu) | Introduced in *The Way of Water*. They are the "Reef People," with distinct turquoise skin, broader, flatter tails, and fin-like appendages on their forearms to aid in swimming. They bond with **Tulkun** (sapient whales) as "spirit siblings" and ride **Skimwings** and **Ilu** for transportation. |
| **Tayrangi** | Coastal/Island | A small, flying clan who live in the floating mountains near the coast and are known for their great skill in riding Ikran (Mountain Banshees). They are allied with the Omatikaya. |
| **Ta'unui** | Ocean/Reef | Another ocean-dwelling clan inhabiting the reef region, mentioned in the lore and briefly seen alongside the Metkayina. |
---
## II. Clans Featured in *Avatar: Frontiers of Pandora* (Video Game)
The game introduces several clans from the **Western Frontier of Pandora**, giving them deep cultural and environmental niches.
| Clan Name | Environment | Key Characteristics |
| :--- | :--- | :--- |
| **Aranahe** | Kinglor Forest | A clan of **weavers and artisans**. They live in a Hometree and have a symbiotic relationship with large, moth-like creatures called **Kinglor**, whose silk they use to craft intricate fabrics and powerful bowstrings. |
| **Zeswa** | Upper Plains | A proud, **nomadic warrior** clan that roams the open plains. They live in symbiosis with large, gentle, elephant-like creatures called **Zakru**, whose bodies provide shelter and whose milk is a primary food source. They are skilled riders of the Direhorse. |
| **Kame'tire** | Clouded Forest | A highly **reclusive and secretive** clan of **healers and apothecaries**. They specialize in a deep knowledge of medicinal plants and herbs from their misty, toxic-clouded forest home. They are suspicious of outsiders and non-confrontational. |
| **Sarentu** | Scattered/Diplomatic (The Player's Clan) | The player's ancestral clan, known historically as **storytellers and diplomats** who worked to unite the other Na'vi clans. They were wiped out or scattered during the RDA's second push. |
---
## III. Other Known Clans (from Comics, Guides, and Lore)
These clans are mostly detailed in supplemental material, the *Pandoraedia*, and other non-film sources.
| Clan Name | Environment | Key Characteristics |
| :--- | :--- | :--- |
| **Tawkami** | Rainforest | A clan known for their deep scientific and intellectual knowledge of Pandora's biology and botany. They are sometimes referred to as "shaman-scientists." |
| **Trr'ong** | Forest | A smaller warrior clan that was tragically decimated during the Battle of the Tree of Souls and whose survivors were absorbed into the Omatikaya. |
| **Tipani** | Jungle | Known as the "Silent War" clan, they are a fierce warrior clan that uses formidable, heavy-duty armor made from tree resin and scavenged metal. |
| **Olangi** | Plain/Jungle Border | A clan known for their mastery of riding the Direhorse. They are nomadic and fiercely independent. |
| **Mangkwan** | Volcanic/Desert-like | Often called the **"Ash People,"** this clan has been confirmed by James Cameron to appear in the third film, *Avatar 3*, and is expected to inhabit a harsh, arid, or volcanic environment. |
| **Kekunan** | Mountain/Cliff | An Ikran-riding clan known for their close proximity to the floating mountains, similar to the Omatikaya but with a more mountainous existence. |
| **Hulanta** | Swamp/Marsh | A clan that resides in the swampy regions of Pandora, adapted to a life in and around marshes and muddy waters. |</t>
  </si>
  <si>
    <t xml:space="preserve">The *Avatar* franchise, encompassing films, video games, and supplementary materials, introduces a rich tapestry of Na'vi clans, each with unique cultures, traditions, and roles within Pandora's ecosystem. Below is a comprehensive overview of the known Na'vi clans:
---
## 🌳 Forest Clans
1. **Omatikaya**
   The central clan in the first *Avatar* film, known for their deep connection to the forest and the sacred Hometree.
2. **Mangkwan (Ash Clan)**
   Introduced in *Avatar: Fire and Ash*, this clan resides in volcanic regions and has a complex relationship with Eywa, leading to their alliance with antagonist Varang. ([EW.com][1])
3. **Aranahe**
   Featured in *Avatar: Frontiers of Pandora*, this clan is renowned for its silk weaving and resides in the Kinglor Forest. ([Avatar Wiki][2])
4. **Zeswa**
   Also introduced in *Avatar: Frontiers of Pandora*, the Zeswa clan inhabits the Upper Plains and plays a significant role in resisting the RDA's exploitation. ([The Economic Times][3])
5. **Kame'tire**
   This clan, featured in *Avatar: Frontiers of Pandora*, lives in the Clouded Forest, contributing to the game's narrative and resistance efforts. ([The Economic Times][3])
6. **Sarentu**
   A clan of storytellers founded by a member of the Omatikaya, the Sarentu are introduced in *Avatar: Frontiers of Pandora*. ([Screen Rant][4])
7. **Tawkami**
   Known as the Sky Seers, the Tawkami value knowledge and research, developing a writing system for the Na'vi language. ([Screen Rant][4])
8. **Tipani**
   The Tipani are known as the "clan of silent war," recognized for their fearlessness and tactical prowess in battle. ([Screen Rant][4])
9. **Anurai**
   An artisanal clan skilled in using bones, the Anurai revere the Thanator and find their homes in secluded valleys on Pandora. ([Screen Rant][4])
10. **Li'ona**
    A clan that has suffered from human exploitation, the Li'ona tribe lives in poor conditions near human factories. ([Screen Rant][4])
---
## 🌊 Ocean and Wetland Clans
1. **Metkayina**
   Featured in *Avatar: The Way of Water*, the Metkayina clan resides along the reefs and is known for their aquatic lifestyle and deep connection to the sea. ([Wikipedia][5])
2. **Ta'unui**
   An oceanic clan mentioned in expanded lore, the Ta'unui share similarities with the Metkayina in their aquatic adaptations. ([Amino Apps][6])
3. **Hulanta**
   A wetland clan known for their unique adaptations to swampy environments, the Hulanta's culture is less documented but contributes to Pandora's ecological diversity. ([Amino Apps][6])
4. **Li'ona**
   As mentioned earlier, the Li'ona clan resides near human factories, facing environmental challenges due to human activities. ([Screen Rant][4])
---
## 🏔️ Highland and Mountain Clans
1. **Rey'tanu**
   Agricultural Na'vi from the highlands of Pandora, the Rey'tanu are known for their farming practices and highland settlements. ([Screen Rant][4])
2. **Kekunan**
   A clan from the northern mountains, the Kekunan are skilled in aerial combat and have a strong bond with the Ikran. ([Screen Rant][4])
3. **Tayrangi**
   Inhabitants of the Eastern Sea's cliffs, the Tayrangi value the Ikran for travel and are known for their swimming skills and eclectic nature. ([Screen Rant][4])
---
## 🏞️ Plains and Nomadic Clans
1. **Olangi**
   Featured in the first *Avatar* film, the Olangi clan are horse riders who inhabit the plains of Pandora and have a nomadic lifestyle. ([Screen Rant][4])
2. **Zeswa**
   As previously mentioned, the Zeswa clan inhabits the Upper Plains and plays a significant role in resisting the RDA's exploitation. ([The Economic Times][3])
---
## 🌌 Other Notable Clans
1. **Anurai**
   An artisanal clan skilled in using bones, the Anurai revere the Thanator and find their homes in secluded valleys on Pandora. ([Screen Rant][4])
2. **Ni'awve**
   A valley-dwelling clan with a distinct culture, the Ni'awve's way of life is less documented but adds to the diversity of Na'vi societies. ([Amino Apps][6])
3. **Sarentu**
   A clan of storytellers founded by a member of the Omatikaya, the Sarentu are introduced in *Avatar: Frontiers of Pandora*. ([Screen Rant][4])
---
These clans represent the rich cultural mosaic of Pandora's indigenous Na'vi populations, each contributing uniquely to the planet's ecological and social fabric. If you're interested in exploring specific aspects of these clans, such as their spiritual practices, governance, or interactions with other clans, feel free to ask!
[1]: https://ew.com/avatar-fire-and-ash-trailer-unveils-tragic-origins-of-fire-na-vi-11816893?utm_source=chatgpt.com "New \"Avatar: Fire and Ash\" trailer unveils tragic origins of Fire Na'vi, teases epic battle between clans"
[2]: https://james-camerons-avatar.fandom.com/wiki/Aranahe_Clan?utm_source=chatgpt.com "Aranahe Clan | Avatar Wiki - Fandom"
[3]: https://m.economictimes.com/news/international/us/avatar-frontiers-of-pandora-see-all-the-navi-clans-and-why-are-they-special/articleshow/106255524.cms?utm_source=chatgpt.com "Avatar: Frontiers of Pandora: See all the Na'vi Clans and why are ..."
[4]: https://screenrant.com/avatar-movie-navi-clans-pandora-explained/?utm_source=chatgpt.com "Avatar: All 20 Na'vi Clans Explained (Cultures, Locations ..."
[5]: https://en.wikipedia.org/wiki/Avatar%3A_The_Way_of_Water?utm_source=chatgpt.com "Avatar: The Way of Water"
[6]: https://aminoapps.com/c/avatarshifting/page/item/all-known-navi-clans/z665_dlLIwIDKnPwgNpYqzPRl5P8p0RoYZq?utm_source=chatgpt.com "All Known Na'vi Clans | Wiki | Avatar Shifting Amino"
</t>
  </si>
  <si>
    <t>Known tribes from Pandora in the "Avatar" universe—including information from the movies, guides, and video games—are primarily the Na'vi clans, each with unique cultures and environments. Here is a comprehensive list of these tribes:
- Omaticaya: The main tribe featured in the first film, living in the forested Hometree region. They are skilled hunters, weavers, and riders of banshees.
- Metkayina: A water-based tribe introduced in "Avatar: The Way of Water," living along the reefs and seas. They are expert swimmers and closely connected to sea creatures called tokens.
- Olangi: Nomadic plains-based tribe known for horseriding and hunting, often seen riding direhorses.
- Tayrangi: Cliff-dwelling tribe specializing in aerial combat.
- Tawkami: Intellectual research-valuing tribe (less detailed in media).
- Tipani: The first tribe to make contact with humans.
- Anurai: Artisans skilled in crafting with bones; featured in video games.
- Li'ona: A tribe heavily impacted by human encroachment, living in poor arid conditions.
- Hulanta: Wetlands tribe that treats water as sacred; appeared in games.
- Huyuticaya: Warpaint-wearing, viperwolf affinity tribe with little detailed coverage.
- Ni'awve: Possibly originating outside Pandora; first Na'vi clan and considered ancient.
- Kekunan: Expert ikran (banshee) riders with colorful attire.
- Aranahe: Clan of skilled silk-weavers and artisans, introduced in the game "Avatar: Frontiers of Pandora."
- Zeswa: Nomadic hunters and riders of giant creatures in the Upper Plains.
- Kame'tire: Reclusive healer clan living in the Clouded Forest.
- Sarentu: Storytellers and diplomats, historically key in unifying clans, now mostly missing. 
Additional lesser-known or briefly mentioned clans include Mangkwan, Rey'tanu, and Toma'ta, among others. Each clan inhabits distinct biomes on Pandora, from forests and wetlands to plains and cliffs, with specialized cultural traits and alliances against human threats.[1][2][3][4][5][6][7]
[1](https://screenrant.com/avatar-movie-navi-clans-pandora-explained/)
[2](https://www.ign.com/wikis/avatar-frontiers-of-pandora/Clans_and_Regions)
[3](https://collider.com/avatar-2-the-way-of-water-pandora-clans-explained/)
[4](https://gameinformer.com/2023/11/08/meet-the-clans-of-avatar-frontiers-of-pandora)
[5](https://economictimes.com/news/international/us/avatar-frontiers-of-pandora-see-all-the-navi-clans-and-why-are-they-special/articleshow/106255524.cms)
[6](https://www.youtube.com/watch?v=gr84DsCm5Bo)
[7](https://james-camerons-avatar.fandom.com/wiki/Category:Clans)
[8](https://www.reddit.com/r/Avatar/comments/1chpvb0/infographic_of_all_known_navi_clans/)
[9](https://james-camerons-avatar.fandom.com/wiki/Na'vi)
[10](https://www.avatar.com/pandorapedia)</t>
  </si>
  <si>
    <t>Based on the Avatar films and expanded universe, here are the known Na'vi clans/tribes from Pandora:
**From the Films:**
1. **Omaticaya** - The forest clan featured prominently in the first film; Jake Sully's adopted clan
2. **Metkayina** - The reef people from "The Way of Water" led by Tonowari and Ronal
3. **Tipani** - Mentioned in the first film as a nearby forest clan
4. **Tawkami** - Another forest clan mentioned in the original film
5. **Anurai** - Mentioned in the first film
6. **Ash People/Ash Clan** - Confirmed to appear in future Avatar films
**From Expanded Universe (Games, Guides, etc.):**
- **Li'ona** - Plains clan
- **Hulanta** - Mountain clan  
- **Olangi** - Mentioned in various materials
- **Ni'awve** - Desert-dwelling clan
- **Tayrangi** - Known for their connection to flying creatures
- **Kekunan**
- **Ikran People of the Eastern Sea**
There are also references to other clans in James Cameron's worldbuilding materials and the "Avatar: The Game," though the exact number and details can vary between sources.
Since my knowledge cuts off in January 2025 and new Avatar content continues to be released, there may be additional clans revealed in newer games, comics, or other materials that I'm not aware of. The Avatar wiki and official guides would have the most comprehensive and up-to-date information!</t>
  </si>
  <si>
    <t xml:space="preserve">Can you explain the avatar cycle from "Avatar the Last Airbender"? </t>
  </si>
  <si>
    <t>The Avatar Cycle is a central concept in *Avatar: The Last Airbender* (and its sequel, *The Legend of Korra*), explaining the spiritual and physical mechanism by which the Avatar, a figure who maintains balance in the world, is reincarnated across generations. Below is a detailed explanation of the Avatar Cycle, covering its mechanics, origins, and significance, based on the series, supplemental materials (e.g., *The Lost Scrolls*, *The Rise of Kyoshi* novels), and creator commentary.
---
### What is the Avatar Cycle?
The Avatar Cycle is the process by which the spirit of the Avatar, a unique human who can bend all four elements (Water, Earth, Fire, Air) and serves as a bridge between the physical and spirit worlds, is reincarnated into a new body after the previous Avatar’s death. The cycle ensures that the Avatar’s role as a mediator of balance—between nations, humans, and spirits—persists across time.
### Key Mechanics of the Avatar Cycle
1. **Reincarnation and Elemental Order**:
   - The Avatar is reborn into one of the four nations in a fixed, repeating order: **Fire → Air → Water → Earth**, then back to Fire. This sequence is tied to the seasons: Fire (summer), Air (autumn), Water (winter), Earth (spring).
   - For example:
     - **Aang** (Air Nomad) follows **Roku** (Fire Nation).
     - **Korra** (Water Tribe) follows Aang.
     - **Kyoshi** (Earth Kingdom) precedes Roku.
   - Each Avatar learns to master the elements in this same order, starting with their native element and progressing to the others.
2. **Raava and the Avatar Spirit**:
   - The Avatar’s power stems from **Raava**, the spirit of light and peace, who bonded with the first Avatar, **Wan**, around 10,000 years before Aang’s time (*The Legend of Korra*, Book 2). This bond makes the Avatar more than human, connecting them to all past Avatars’ memories and skills via Raava’s spirit.
   - When an Avatar dies, Raava carries their spirit (and the collective knowledge of past Avatars) into a newborn of the next nation in the cycle. The new Avatar is typically identified as a toddler through spiritual tests (e.g., choosing objects owned by past Avatars, as seen with Aang).
3. **The Avatar State**:
   - The Avatar State is a heightened spiritual mode where the Avatar channels the power and wisdom of all past Avatars through Raava. It grants immense bending power but leaves the Avatar vulnerable.
   - If the Avatar dies in the Avatar State, the cycle ends permanently, as Raava’s spirit would be destroyed (*The Legend of Korra*, Book 2). This happened temporarily with Korra, but Raava was restored.
   - After Korra’s era, the connection to past Avatars was severed when Raava was briefly destroyed, meaning later Avatars (starting with Korra) rely solely on their own experiences and Raava’s guidance.
4. **Role and Responsibilities**:
   - The Avatar maintains balance by resolving conflicts between nations, mediating human-spirit disputes, and protecting the world from threats (e.g., Fire Nation imperialism in Aang’s time).
   - They are not infallible; each Avatar’s personality and cultural upbringing shape their approach. For example, Aang’s pacifist Air Nomad values contrast with Kyoshi’s decisive, sometimes ruthless Earth Kingdom mindset.
### Origins of the Cycle
- **Wan’s Story** (*The Legend of Korra*, Book 2, Episodes 7–8):
  - The cycle began with Wan, a human who lived during a time when spirits and humans coexisted chaotically. Wan freed **Vaatu**, the spirit of darkness, sparking conflict with Raava.
  - To stop Vaatu during the **Harmonic Convergence** (a celestial event every 10,000 years), Wan permanently fused with Raava, gaining the ability to bend all four elements. He defeated Vaatu, sealed him in the Spirit World, and became the first Avatar, dedicating his life to balance.
  - After Wan’s death, Raava carried his spirit into the next Avatar, establishing the cycle.
- **Cultural Impact**: The Avatar became a revered (and sometimes feared) figure across nations, with each culture interpreting the Avatar’s role differently (e.g., the Fire Nation under Sozin saw the Avatar as a threat, while the Water Tribe views them as a protector).
### Key Examples in the Cycle
Here are notable Avatars and their places in the cycle:
- **Wan** (Fire): First Avatar, established the cycle.
- **Kyoshi** (Earth): Long-lived (230 years), known for creating Kyoshi Island and the Dai Li.
- **Roku** (Fire): Aang’s predecessor, failed to stop Fire Nation expansion.
- **Aang** (Air): Ended the Hundred Year War, restored Air Nomad culture.
- **Korra** (Water): Navigated a new era of spiritual openness and technological change.
### Additional Notes
- **Identification**: Avatars are identified young (often by age 4–6) but traditionally told at 16 (Aang was informed at 12 due to the war). Tests vary by nation (e.g., Air Nomads use toy selection; Earth Kingdom uses omens).
- **Challenges**: Each Avatar faces unique challenges reflecting their era. Aang dealt with war, Korra with spiritual upheaval and political extremism.
- **Cycle Disruptions**: Korra’s loss of past Avatar connections (*Korra*, Book 2) suggests the cycle can evolve. Future Avatars may rely more on Raava or rediscover past lives differently.
- **Expanded Lore**: Novels like *The Rise of Kyoshi* and *The Shadow of Kyoshi* detail the cycle’s complexities, showing how Avatars like Kyoshi struggled with their role. Games (*Avatar: Generations*) and comics (*The Lost Adventures*) add minor details but focus on known Avatars.
### Visualizing the Cycle
The cycle can be thought of as a wheel, with each Avatar as a spoke connected through Raava. While I could generate a chart to show the elemental order or Avatar lineage, there’s no numerical data in your request to plot (e.g., years or events). If you’d like a chart of the known Avatars or elemental progression, let me know, and I can create one using Chart.js (e.g., a circular "wheel" via polarArea chart).
### Why It Matters
The Avatar Cycle is more than a plot device; it embodies themes of legacy, responsibility, and balance. Each Avatar grapples with their predecessors’ successes and failures while forging their own path, making the cycle a dynamic narrative of growth and continuity.
If you want specifics on a particular Avatar, deeper spiritual mechanics, or fan discussions from X about the cycle, let me know!</t>
  </si>
  <si>
    <t>The **Avatar Cycle** is the process of reincarnation that dictates which of the Four Nations the Avatar's spirit will be reborn into upon the death of the previous one. It is the core spiritual mechanic of the *Avatar: The Last Airbender* and *The Legend of Korra* universes.
Here is a breakdown of its order, origin, and significance:
---
## 1. The Order of the Cycle
The Avatar is always reincarnated into the four nations in a fixed, repeating order:
$$\text{Fire Nation} \rightarrow \text{Air Nomads} \rightarrow \text{Water Tribes} \rightarrow \text{Earth Kingdom}$$
### Key Examples of the Cycle:
| Element | Previous Avatar | Current Avatar | Next Avatar (The One After) |
| :--- | :--- | :--- | :--- |
| **Fire** | **Kyoshi** (Earth) | **Roku** (Fire) | **Aang** (Air) |
| **Air** | **Roku** (Fire) | **Aang** (Air) | **Korra** (Water) |
| **Water** | **Aang** (Air) | **Korra** (Water) | The next Avatar (Earth) |
| **Earth** | **Korra** (Water) | The next Avatar (Earth) | The one after (Fire) |
This cycle is often said to correspond to the four seasons, which are traditionally associated with the nations:
* **Fire:** Summer
* **Air:** Autumn
* **Water:** Winter
* **Earth:** Spring
---
## 2. Origin of the Cycle
The cycle originated with the **very first Avatar, Wan**, approximately 10,000 years before Avatar Aang.
* **The Bonding:** Avatar Wan was the first human to permanently fuse his spirit with **Raava**, the spirit of light and peace, during the event known as Harmonic Convergence. This fusion granted him the ability to wield all four elements.
* **Wan's Journey:** The sequence of the cycle is the same as the order in which Wan learned the four elements from the Lion Turtles.
    1.  He started in the Lion Turtle city that granted **Fire** (the element he first had).
    2.  He then acquired **Air**, followed by **Water**, and finally **Earth**.
* **Reincarnation:** When Wan died, Raava ensured the fusion of their two spirits would be reborn into the next nation in that sequence, establishing the eternal cycle that would be passed down through all future Avatars.
---
## 3. Significance and Responsibilities
The Avatar Cycle is central to the role and training of every Avatar:
* **Maintenance of Balance:** The primary purpose of the cycle is to ensure the Avatar, the world's bridge between the physical and spirit worlds, is born into *each* of the four nations in turn, preventing any single nation from monopolizing the ultimate power and maintaining global harmony.
* **Learning Order:** By tradition, the Avatar is expected to learn the elements in the order of the cycle, starting with their native element, and then proceeding to the next three nations:
    * **Aang (Air Nomad):** Air $\rightarrow$ Water $\rightarrow$ Earth $\rightarrow$ Fire
    * **Korra (Water Tribe):** Water $\rightarrow$ Earth $\rightarrow$ Fire $\rightarrow$ Air
    This order is believed to offer a balanced spiritual and physical development, as each element is philosophically opposite to the one two steps away (e.g., the freedom of Air is opposite the stability of Earth).
---
## 4. Breaking the Cycle (Avatar State)
The Avatar Cycle is generally considered unbreakable and eternal, but there is one critical exception:
* **Death in the Avatar State:** If the Avatar is killed while they are in the **Avatar State** (the state where they channel the power and knowledge of all past lives through Raava), the connection to Raava is severed, and the Avatar spirit will cease to be reborn. The cycle ends permanently. This is why the Avatar State is so crucial to protect.
* **The New Cycle:** In *The Legend of Korra*, the Avatar's connection to all previous Avatars (from Wan up to Aang) was severed. Although Korra was able to re-fuse with Raava and restore the Avatar spirit, she had to start a **new cycle** of past lives with herself as the first. The order of the nations, however, **remained the same**. The next Avatar after Korra will be an Earthbender, and they will be the first in their own line of past lives.</t>
  </si>
  <si>
    <t xml:space="preserve">Absolutely! The **Avatar Cycle** in *Avatar: The Last Airbender* is a central concept that explains how the Avatar reincarnates and the connection between the four elemental nations. Here's a detailed breakdown:
---
### 1. **The Four Elements**
The world is divided into four nations, each associated with one element:
* **Water Tribe** → Waterbending
* **Earth Kingdom** → Earthbending
* **Fire Nation** → Firebending
* **Air Nomads** → Airbending
The **Avatar** is the only person who can bend all four elements and serves as a bridge between the physical and spiritual worlds.
---
### 2. **The Cycle**
The Avatar reincarnates in a fixed **elemental order** called the Avatar Cycle:
**Water → Earth → Fire → Air → Water…**
This means:
* If the current Avatar is from the Water Tribe, their next incarnation will be born in the Earth Kingdom.
* The cycle continues through Fire Nation and Air Nomads before returning to Water.
This order reflects balance between the elements and ensures that every nation eventually produces an Avatar.
---
### 3. **Purpose of Reincarnation**
* **Maintaining Balance:** The Avatar is responsible for keeping harmony between the nations and the spiritual world.
* **Learning from Past Lives:** The Avatar can access the knowledge, skills, and wisdom of their past lives through the **Spirit Connection**.
* **Spiritual Continuity:** The reincarnation ensures the Avatar exists continuously to address conflicts, natural disasters, and spiritual disturbances.
---
### 4. **Notable Avatars in the Series**
* **Avatar Roku** → Fire Nation
* **Avatar Kyoshi** → Earth Kingdom
* **Avatar Kuruk** → Water Tribe
* **Avatar Yangchen** → Air Nomads
* **Avatar Aang** → Air Nomads (the main character of the series)
Each Avatar learns from their predecessors and builds upon their experiences.
---
### 5. **Connection to the Spirit World**
The Avatar is unique because they can enter the **Avatar State**, drawing on the power and wisdom of all past Avatars. This state amplifies bending abilities but is dangerous if the Avatar dies while in it.
---
In short, the Avatar Cycle ensures that **every nation contributes to the balance of the world**, and the Avatar serves as a spiritual and political mediator, reborn continuously to maintain harmony.
If you want, I can make a **diagram showing the Avatar Cycle with each nation and famous Avatars**, which makes it super easy to visualize. Do you want me to do that?
</t>
  </si>
  <si>
    <t>### Understanding the Avatar Cycle from "Avatar: The Last Airbender"
The Avatar Cycle is a spiritual reincarnation cycle that governs the process by which the Avatar is reborn across the Four Nations in a specific, repeating order: **Fire, Air, Water, Earth**. This order was established by the very first Avatar, Wan, based on the sequence in which he learned to bend the four elements.
- **The First Avatar:** Wan fused with Raava, the spirit of light and peace, granting him the unique power to bend all four elements and maintain balance in the world.
- **Cycle of Reincarnation:** After the death of one Avatar, Raava's spirit reincarnates into a new child born into the next nation in the cycle. For example, after a Fire Nation Avatar dies, the next is born into the Air Nomads, then Water Tribes, then Earth Kingdom, and then the cycle repeats.
- **Role and Abilities:** The Avatar is the only person capable of bending all four elements—water, earth, fire, and air—and acts as the bridge between the physical and spirit worlds, keeping peace and balance.
- **Avatar State:** A powerful state connecting the current Avatar to all past Avatars, enhancing their bending and giving access to past knowledge. This is a critical defense mechanism but also a vulnerability since killing the Avatar in this state ends the cycle.
- **Learning the Elements:** Traditionally, the Avatar masters the elements in the order of the cycle. For example, Aang was born an Airbender and had to learn Water, Earth, then Firebending.
- **Recent Changes:** In "The Legend of Korra," the Avatar Cycle is disrupted when Korra loses and later regains connection to her past lives, starting a new Avatar Cycle. Korra also reopens the spirit portals, allowing more balance between humans and spirits.
This cycle has been ongoing for over 10,000 years, and the Avatar's mission remains to maintain harmony among nations and between the spirit and physical worlds.
[1](https://www.cbr.com/avatar-cycle-responsibilities-avatar-last-airbender-explained/)
[2](https://www.thegamer.com/avatar-the-last-airbender-the-avatar-cycle-origin-story-explained/)
[3](https://gizmodo.com/avatar-cycle-explained-seven-havens-korra-aang-2000566968)
[4](https://alittlebithuman.com/the-avatar-cycle-a-cross-section-of-anime-and-ancient-religions/)
[5](https://www.reddit.com/r/TheLastAirbender/comments/16s64o9/a_troubling_thing_about_the_avatar_cycle/)
[6](https://avatar.fandom.com/wiki/Avatar)
[7](https://www.youtube.com/watch?v=UHqUxVoynRo)
[8](https://thedailyfandom.org/a-historic-guide-to-the-avatar-cycle/)
[9](https://avatar.fandom.com/wiki/History_of_the_World_of_Avatar)</t>
  </si>
  <si>
    <t>The Avatar Cycle is the pattern of reincarnation that the Avatar follows through the four nations in "Avatar: The Last Airbender."
**How it Works:**
When an Avatar dies, they reincarnate into the next nation in the cycle, following this order:
- **Fire → Air → Water → Earth** (and repeat)
So the pattern goes: Fire Nation → Air Nomads → Water Tribes → Earth Kingdom → back to Fire Nation, and so on.
**Key Points:**
- The Avatar is the only person who can master all four elements (bending fire, air, water, and earth), rather than just one
- They serve as the bridge between the physical world and the Spirit World
- Each Avatar can connect with their past lives for wisdom and guidance
- The Avatar is identified in childhood through various tests and signs
- They typically don't learn they're the Avatar until age 16 (though Aang learned at 12 due to urgent circumstances)
**The Cycle in the Show:**
In the series, we see this lineage: Roku (Fire Nation) → Aang (Air Nomads) → Korra (Water Tribes, from "The Legend of Korra")
The cycle has continued for thousands of years across countless Avatars. The show explores what happens when this cycle is threatened - the Fire Nation's genocide of the Air Nomads was partially aimed at ending the Avatar Cycle by killing the next Air Nation Avatar (Aang), though he survived by being frozen in ice for 100 years.</t>
  </si>
  <si>
    <t>Who are the rival groups from the book "This is How You Lose the Time War."</t>
  </si>
  <si>
    <t>### Rival Groups in *This Is How You Lose the Time War*
*This Is How You Lose the Time War* (2019 novella by Amal El-Mohtar and Max Gladstone) is set in a sprawling, multiversal time war where two opposing factions battle to shape the future by manipulating timelines across history. The central conflict revolves around elite agents from these rival groups—Red (from the technological faction) and Blue (from the organic one)—whose secret correspondence evolves from taunts into a forbidden romance. The groups themselves are not depicted in granular detail, serving more as ideological backdrops to the personal story, but they represent fundamentally incompatible visions of existence.
The two primary rival groups are:
| Group Name | Description | Key Agent | Ideological Vision |
|------------|-------------|-----------|--------------------|
| **The Agency** | A hyper-technological, post-singularity empire that embodies machine-like efficiency, digital ascension, and engineered futures. They deploy agents like Red to "sew" timelines with tech-infused strands, ensuring a universe aligned with their cold, computational dominance. | Red (a rising star operative, fierce and ambitious) | A utopia of pure technology, where consciousness uploads into vast networks and organic life is obsolete or augmented beyond recognition. |
| **The Garden** | A biopunk, organic collective that reveres natural growth, evolution, and living systems. They use agents like Blue to "braid" timelines with biological threads, cultivating futures rooted in flesh, flora, and adaptive ecosystems. | Blue (a subtle, introspective operative, deeply attuned to life's rhythms) | A harmonious, verdant paradise where technology serves biology, and futures bloom like gardens—diverse, resilient, and intertwined with Eywa-like planetary intelligences. |
### Context in the Story
- **The War's Nature**: These factions wage a "time war" not with armies, but through subtle interventions in history—altering events, seeding ideas, or pruning branches of possibility—to ensure their timeline prevails and erases the other's. It's a cat-and-mouse game across eras, from ancient shores to futuristic battlefields, where victory means the total exclusion of the rival's reality.
- **Role in the Plot**: The groups highlight themes of duality (tech vs. nature, order vs. chaos) and forbidden love across divides. Red and Blue's growing bond subverts their loyalties, turning the war into a personal microcosm of action and reaction. No other major rival groups are introduced; the conflict is binary, with occasional mentions of surveillance or higher commands adding tension.
- **Themes and Symbolism**: The Agency evokes dystopian sci-fi (e.g., cybernetic hives), while the Garden draws from ecopunk (e.g., living worlds). Their rivalry underscores the novel's epistolary style—letters "burn before reading," hidden in lava or spores—blending romance, espionage, and philosophy.
The novella's poetic, non-linear prose leaves much to interpretation, but these factions form its core antagonism. If you're reading it, the emotional pull between Red and Blue often overshadows the war itself. For spoilers or deeper analysis, let me know!</t>
  </si>
  <si>
    <t>The book "This is How You Lose the Time War" revolves around the rivalry between two massive, opposing factions that are locked in an endless war across the strands of time.
The two main rival groups are:
1.  **The Agency** (The Red Side)
    * **Agent:** **Red**
    * **Nature:** It is a post-singularity technotopia, a future society defined by extreme technological advancement, efficiency, and cybernetics. Red is herself a machine-enhanced, cyborg-like agent.
    * **Goal:** To weave the threads of time toward a future that is fully mechanical, ordered, and technologically superior.
    * **Leadership:** The **Commandant**.
2.  **Garden** (The Blue Side)
    * **Agent:** **Blue**
    * **Nature:** It is a single, vast, organic consciousness, often described as an immense, plant-based or nature-based hive-mind. Blue is an organic, shape-shifting creature who relies on biological means of influence.
    * **Goal:** To guide the threads of time toward a future that is entirely natural, biological, and harmonious with the living world.
    * **Leadership:** **Garden** itself (a collective entity).
The central conflict of the story is the struggle between their two top agents, **Red** and **Blue**, who are constantly traveling through time—past, present, and future—to manipulate events (braiding and unbraiding "strands" of history) in favor of their respective, mutually exclusive futures. What begins as a lethal rivalry and a game of taunting quickly develops into a secret, passionate love story conducted through covert letters left in ingenious ways across time and space.</t>
  </si>
  <si>
    <t xml:space="preserve">In ***This Is How You Lose the Time War*** by Amal El-Mohtar and Max Gladstone, the central conflict revolves around **two rival agents from opposing factions** who manipulate time:
---
### 1. **Red**
* An operative of the **Agency**, often associated with creating beautiful, strategic, and subtle manipulations in time.
* Uses poetic, artistic tactics in her temporal interventions.
* Her faction seems more formal and hierarchical, focused on maintaining control of the timeline.
### 2. **Blue**
* An operative of the **Garden**, the opposing faction to the Agency.
* Works in counterpoint to Red, often creating intricate changes to outmaneuver the Agency’s plans.
* Her faction is more mystical, free-flowing, and naturalistic in its approach to time.
---
### Dynamics Between the Groups
* The **Agency** and the **Garden** are engaged in a **time-spanning war**, altering events across centuries to gain advantage.
* Red and Blue initially view each other as enemies, leaving messages and counter-moves in the timeline.
* Over time, their rivalry develops into a **romantic correspondence**, blurring the lines between friend and foe.
---
So the two rival groups are essentially:
1. **The Agency** (Red’s faction)
2. **The Garden** (Blue’s faction)
Everything in the story revolves around their **temporal battles, poetic sabotage, and eventual emotional connection**.
If you want, I can also break down **some of the specific “missions” or interventions they carry out in different time periods**, which highlight how the war unfolds across the book. Do you want me to do that?
</t>
  </si>
  <si>
    <t>The rival groups in the book "This Is How You Lose the Time War" are known simply as **Red** and **Blue**. They are elite agents working for opposing factions engaged in a long and complex time war spanning multiple realities and centuries.
- **Red's faction** is described as a distant technological utopia, highly advanced and militaristic.
- **Blue's faction** is a nature-based, interconnected society that resembles a verdant, organic hive-consciousness.
These two agents, Red and Blue, are both top operatives for their respective sides, tasked with shaping the future by changing events in time. Despite being mortal enemies, they develop a secret correspondence through letters left in various times and places, ultimately forming a deep and forbidden romantic connection across the battle lines.
The book explores their rivalry as well as their growing bond, with the war between the two factions serving as the backdrop to their relationship.[1][2][3][4][6]
[1](https://www.npr.org/2019/07/18/742651647/letters-serve-to-bond-time-traveling-rivals-in-this-is-how-you-lose-the-time-war)
[2](https://uhsswordandshield.com/30369/arts-and-entertainment/this-is-how-you-lose-the-time-war-a-review/)
[3](https://triumphofthenow.com/2020/05/05/this-is-how-you-lose-the-time-war-by-amal-el-mohtar-and-max-gladstone/)
[4](https://www.reddit.com/r/books/comments/1khumbg/this_is_how_you_lose_the_time_war_by_amal/)
[5](https://bookclubs.com/discussion-guides/this-is-how-you-lose-the-time-war)
[6](https://thewordyhabitat.com/this-is-how-you-lose-the-time-war-book-review/)
[7](https://forestsandfiction.com/2023/06/20/book-review-this-is-how-you-lose-the-time-war-by-amar-el-mohtar-and-max-gladstone/)</t>
  </si>
  <si>
    <t>In "This is How You Lose the Time War" by Amal El-Mohtar and Max Gladstone, the two rival factions are:
**The Agency** (also called "Commandant") - Red's side, which represents a more technological, mechanistic, and industrial approach to shaping timelines. They use advanced technology and favor order and structure.
**Garden** - Blue's side, which represents a more organic, biological approach. Garden uses biotechnology and growth-based methods, favoring natural evolution and organic development.
These two factions are engaged in a time war across multiple timelines and realities, each trying to shape the course of history according to their vision. Red is an agent of the Agency, while Blue is an agent of Garden, and they are elite operatives on opposite sides of this conflict.
The book deliberately keeps many details about these organizations vague and mysterious - we learn about them through the perspectives of Red and Blue as they exchange letters across time and space. The focus is more on the personal relationship developing between these two agents than on the specifics of their organizations' goals or structures. The ambiguity about what exactly each side wants and represents is part of the book's literary style.</t>
  </si>
  <si>
    <t>Who is Alloy's mother in "Horizon Zero Dawn"?</t>
  </si>
  <si>
    <t>**Elisabet Sobeck** is Aloy's genetic mother in *Horizon Zero Dawn*. 
### Key Details:
- **Background**: Aloy, the protagonist, is a clone created by the AI system GAIA as part of Project Zero Dawn, a global terraforming initiative led by Dr. Elisabet Sobeck, a brilliant 21st-century roboticist and CEO of Faro Automated Solutions. GAIA used Sobeck's DNA to produce Aloy in 3021 to serve as a potential "backup" with the skills to repair the damaged GAIA Prime facility and restore Earth's ecosystem after the Faro Plague's apocalypse.
- **Revelation in the Story**: This is a major plot twist uncovered during Aloy's journey in *Zero Dawn*. Through audio logs and holograms at GAIA Prime, Aloy learns her origins, confronting Sobeck's recorded messages and realizing her "birth" was engineered centuries after Sobeck's death (Sobeck sacrificed herself in 2064 to protect the project).
- **Nora Context**: Raised as an outcast by Rost (her adoptive father) among the Nora tribe, Aloy initially seeks her mother's identity through the tribe's Proof of Life ritual, unaware of her true, non-biological connection to Sobeck.
- **Expansion in Sequels**: In *Horizon Forbidden West* and *Horizon Call of the Mountain*, Aloy's bond with Sobeck's legacy deepens as she inherits her intellect and determination to combat new threats like the Far Zenith.
Sobeck's influence shapes Aloy's character—her curiosity, ingenuity, and resolve—making her more than a clone; she's a spiritual successor to the woman who saved humanity. If you're playing the game, this reveal hits around the late-game facilities—avoid spoilers if you're early on! For more on Sobeck or Aloy's arc, let me know.</t>
  </si>
  <si>
    <t>Aloy does not have a conventional mother. She is a **genetic clone** of a scientist from the Old World named **Dr. Elisabet Sobeck**.
Here are the details from the context:
* Aloy was created by the original **GAIA** AI in a facility called Cradle 9 (located beneath the Nora's sacred All-Mother Mountain) as a contingency plan to save the world.
* GAIA used the genetic material of **Dr. Elisabet Sobeck** to create Aloy.
* Because Aloy shares the same DNA, she is a near-identical genetic match (99.47%) to Elisabet Sobeck. Aloy was created so she could access the gene-locked Old World facilities to stop the rogue AI HADES and restore GAIA.
* Though not her biological birth mother, Aloy often sees **Elisabet Sobeck** as the closest person she has to a mother figure due to their connection and her origins.
* The Nora tribe outcast her at birth because she was found alone outside the sealed door of the Cradle facility and was considered **"motherless."**</t>
  </si>
  <si>
    <t xml:space="preserve">In *Horizon Zero Dawn*, **Aloy’s mother is Rost**—wait, no, that’s a common misconception. Let me go carefully:
* **Rost** is Aloy’s adoptive father and mentor.
* Aloy’s biological mother is **Talanah’s storyline doesn’t relate here**—so that’s not it either.
The correct answer: **Aloy’s biological mother is unknown for most of the game**. However, it’s eventually revealed that she was **part of Project Zero Dawn** experiments: her mother’s identity is **Evelyn**… actually, no. Let’s check carefully.
Step by step:
1. Aloy is a clone of **Dr. Elisabet Sobeck**, the leading scientist behind Project Zero Dawn.
2. So, biologically, **Elisabet Sobeck is essentially Aloy’s “mother”**.
3. Aloy was created as part of the project, not born naturally.
✅ **Answer:** Aloy’s mother is **Dr. Elisabet Sobeck**, as Aloy is a genetic clone of her.
If you want, I can also explain **how that connection drives Aloy’s story and her link to the machines**—it’s a big part of the narrative.
</t>
  </si>
  <si>
    <t>Aloy's "mother" in "Horizon Zero Dawn" is Elisabet Sobeck. However, Aloy is not a child born to Elisabet in the traditional sense; rather, she is a genetic clone created from Elisabet's DNA. Elisabet Sobeck was a brilliant scientist and engineer who played a pivotal role in creating the Zero Dawn project, designed to restore life on Earth after an apocalyptic event. Aloy was created long after Elisabet's time with the purpose of stopping the rogue artificial intelligence HADES.
In a meaningful sense, Elisabet is seen as Aloy's closest maternal figure, as Aloy carries her genetic legacy and seeks to understand her origins throughout the game. Additionally, the AI system GAIA, which Elisabeth developed and which birthed Aloy (implanting Aloy’s genetic makeup into the new world), is also considered a sort of figurative "mother" to Aloy.[1][2][5][6]
So, Aloy's mother is Elisabet Sobeck in a genetic and symbolic way, while GAIA acts as a caretaker and creator figure in the larger narrative.
[1](https://www.youtube.com/watch?v=B73HYw0Alpg)
[2](https://www.reddit.com/r/horizon/comments/1isjptq/aloys_mom/)
[3](https://www.youtube.com/watch?v=rtvEkEgY7UQ)
[4](https://www.youtube.com/watch?v=733Y7tt9LLI)
[5](https://horizon.fandom.com/wiki/Elisabet_Sobeck)
[6](https://horizon.fandom.com/wiki/Aloy)
[7](https://gamefaqs.gamespot.com/boards/168644-horizon-zero-dawn/75646950)
[8](https://www.instagram.com/reel/DJg0VlIqAfn/)</t>
  </si>
  <si>
    <t>In "Horizon Zero Dawn," Aloy's mother is **Elisabet Sobeck**.
However, it's important to clarify what this means: Aloy is actually a **clone** of Elisabet Sobeck, not her biological daughter in the traditional sense. Elisabet Sobeck was a brilliant scientist who lived in the 21st century, before the world was destroyed by the Faro Plague.
**The Story:**
Elisabet created Project Zero Dawn, which was designed to restore life on Earth after the machines consumed all biomass. She died before seeing her plan come to fruition. Centuries later, the AI GAIA created Aloy as a clone of Elisabet because GAIA needed someone with Elisabet's DNA to access certain facilities and systems that were biologically locked to her.
Aloy was born without a mother in the traditional sense - she was created in a facility called ELEUTHIA-9 and emerged from the mountain as an infant, where she was found and raised by Rost, an outcast from the Nora tribe.
So while Elisabet Sobeck is Aloy's genetic "mother," they never met, and Aloy spends much of the game uncovering the mystery of her origins and Elisabet's legacy.</t>
  </si>
  <si>
    <t>Explain how the lore from all the Dark Souls games relate to "Eldin Ring"</t>
  </si>
  <si>
    <t>### Connections Between Dark Souls Lore and Elden Ring
Hidetaka Miyazaki and FromSoftware have repeatedly stated that *Elden Ring* (2022) is a standalone title with its own self-contained lore, not a direct sequel or part of the same universe as the *Dark Souls* trilogy (*Dark Souls* 2011, *Dark Souls II* 2013, *Dark Souls III* 2016). In interviews (e.g., around *Elden Ring*'s development), Miyazaki emphasized it's a "new fantasy world" co-created with George R.R. Martin for the foundational mythology, distinct from the *Dark Souls* cycle of linking the fire and inevitable decay. This separation allows creative freedom, but the games share deep thematic DNA, narrative motifs, and environmental storytelling—making *Elden Ring* a "spiritual successor" to *Dark Souls*, much like *Bloodborne* (2015) or *Sekiro* (2019). Fan theories abound about multiversal links (especially post-*Elden Ring: Nightreign* crossover), but canonically, there's no shared timeline or characters beyond Easter eggs.
Below, I'll break down how *Dark Souls* lore elements echo in *Elden Ring*, focusing on themes, structures, and specifics. This highlights influences without implying direct continuity.
#### Core Thematic Parallels
Both series explore cycles of creation, hubris, and collapse in a dark fantasy setting, where gods-like figures impose order that inevitably frays. *Dark Souls* centers on the **Age of Fire**—a primordial flame kindled by Lord Gwyn to stave off darkness, leading to an endless loop of "linking the fire" by chosen undead to prolong a fading era. This creates a world of entropy, where humanity (tied to the "Dark" or Age of Man) chafes against divine stagnation.
In *Elden Ring*, this manifests as the **Golden Order**, enforced by Queen Marika and the Elden Ring (a cosmic artifact shattered in the Shattering war). Players, as Tarnished (exiled warriors), restore or shatter this order, echoing the undead's quest to link (or usurp) the fire. Both critique immortality's cost: Gwyn's linking curses humanity with undeath (hollowing), while Marika's Order breeds demigod infighting and "curses" like Those Who Live in Death (undead-like outcasts). The result? A decaying world where player choice perpetuates or ends the cycle—e.g., *Dark Souls*'s fire-linking vs. dark-ending, mirrored in *Elden Ring*'s Age of Fracture vs. Ranni's Age of Stars.
| Theme                  | Dark Souls Lore Example                          | Elden Ring Parallel                              |
|------------------------|--------------------------------------------------|--------------------------------------------------|
| **Fading Golden Age** | Age of Ancients (eternal dragons) yields to Gwyn's fire; linking prolongs it, causing decay. | Golden Order (Erdtree's grace) shatters; demigods vie to reform it amid rot and ruin. |
| **Divine Hubris**     | Gwyn sacrifices self to link fire, cursing the world to endless cycles. | Marika imprisons her children (e.g., Godwyn's death triggers undeath plague). |
| **Humanity's Shadow** | Dark Sign curses players as undead, tied to Manus's primordial humanity. | Tarnished bear "Grace" but face death's taint; outer gods corrupt like the Frenzied Flame. |
| **Cycle of Renewal**  | Linking the fire restarts the age; hollowing enforces repetition. | Mending the Elden Ring restores order; endings like Dung Eater's curse loop suffering. |
#### Narrative and Structural Similarities
*Dark Souls* lore unfolds via environmental clues, item descriptions, and cryptic NPC dialogue—e.g., piecing together Gwyn's betrayal of the dragons or the abyss's spread from New Londo. *Elden Ring* amplifies this in an open world, with Martin's input adding dynastic intrigue (e.g., demigod family trees via remembrance bosses). The Shattering war parallels *Dark Souls*'s Lord Souls bosses, where ancient lords hoard power fragments.
- **Protagonist Archetypes**: The Chosen Undead/Ashen One (reluctant saviors linking fire) mirrors the Tarnished—an amnesiac exile gathering Great Runes to become Elden Lord. Both are "cursed" wanderers, dying and resurrecting at Sites of Grace (bonfire analogs).
- **Boss and Faction Echoes**: *Dark Souls*' lords (Gwyn, Nito) become *Elden Ring*'s shardbearers (Radahn, Malenia). Factions like the Covenant system (e.g., Path of the Dragon) evolve into summons and ashes of war. The abyss (corrupting dark) resembles the Scarlet Rot or Formless Mother—external forces eroding order.
- **World Design Ties**: Lordran/Anor Londo's interconnected ruins inspire Limgrave/Altus Plateau's layered biomes. Poison swamps (Blighttown) recur in Caelid's rot bogs.
#### Specific Lore Callbacks and Easter Eggs
While not canon links, *Elden Ring* nods to *Dark Souls* via reused ideas:
- **Dragons**: *Dark Souls*' ancient dragons (Seath the Scaleless) parallel Placidusax and Dragonlord foes; both eras predate "human" rule.
- **Patches the Hyena**: The recurring trickster (from *Demon's Souls* onward) appears in *Elden Ring*, trapping players— a meta-joke on FromSoftware's shared "multiverse" via this one immortal conman.
- **Visual/Mechanic Homages**: Walking pots (mimic chests), greatbows (like Hawkeye Gough's), and the "unending curse" trailer line evoke *Dark Souls*' hollowing.
#### Fan Theories and Emerging Multiverse Hints
Fans speculate *Elden Ring* as a *Dark Souls* prequel (e.g., Lands Between as a dragon-exiled Lordran fragment) or multiversal branch, fueled by shared moons (Moonlight Greatsword) and entropy. Recent developments like *Elden Ring: Nightreign* (upcoming co-op spin-off) explicitly crossover with *Dark Souls 3* (e.g., Nameless King boss), pulling enemies "from another world" via multiversal rifts—suggesting FromSoftware's "shared multiverse" for spin-offs, even if mainline games stay separate. X discussions echo this excitement, with users noting how it "proves" long-held theories without retconning lore.
In essence, *Dark Souls* lore provides the blueprint for *Elden Ring*'s melancholy grandeur—cycles of flawed gods, cursed heroes, and crumbling empires—but *Elden Ring* expands it with Martin's political depth and open-world scale. If you're theory-crafting, it's fertile ground; otherwise, each stands alone as a masterpiece of implied tragedy. For deeper dives (e.g., on *Shadow of the Erdtree* DLC ties), let me know!</t>
  </si>
  <si>
    <t>While Hidetaka Miyazaki (the director of both series) has officially stated that **there is no direct narrative connection** between *Dark Souls* and *Elden Ring*—they exist in separate universes—the lore relates in terms of **recurring philosophical themes, narrative structures, and subtle symbolic callbacks**.
The games are "spiritual successors," building on the same foundational ideas.
### 1. Thematic and Philosophical Connections
The deepest relationship is through shared themes that form the core of FromSoftware's storytelling:
| Theme | Dark Souls Lore | Elden Ring Lore |
| :--- | :--- | :--- |
| **Cycles and Stagnation** | The central conflict is maintaining the **Age of Fire** by linking the flame, or letting it fade to begin the **Age of Dark**. This creates an endless cycle of renewal and decay, which is arguably *bad* for humanity. | The current state of the Lands Between is a period of **Stagnation** after the shattering of the **Elden Ring** and the sealing of Destined Death. The various endings often involve establishing a new Order (a new form of the Ring's power) to break or continue a different, corrupt cycle. |
| **Failing/Corrupt Deities** | The powerful gods of the Age of Fire (Gwyn, etc.) are flawed, selfish, and desperate to preserve their power, leading to the world's decay (the Undead Curse). | The Greater Will, the Outer Gods, Queen Marika, and the Demigods are all imperfect, cruel, or insane figures whose ambitions and failures led to the Shattering and the world's ruin. The player is meant to fix or destroy their oppressive Order. |
| **The Nature of Humanity** | Humanity is tied to the **Dark Soul** and the **Dark Sign**—a curse that makes them undead but also represents their freedom and potential for an Age of Dark. | The player is a **Tarnished**, an exiled human who can see the **Grace** of the Erdtree, representing a return to favor with the Greater Will but also being a puppet of a greater power. Both player characters are often an outcast outsider elevated to a cosmic role. |
| **Subtlety and Interpretation** | Lore is communicated through cryptic dialogue, environmental storytelling, and item descriptions, forcing the player to piece together the narrative. | This is identical. The main plot is straightforward, but the deep history (the world-building provided by George R.R. Martin) is revealed through fragments and requires significant player theorizing. |
### 2. Structural and Cosmological Parallels
The fundamental "rules" of the world share a similar blueprint:
* **The Primordial State:** Both worlds began in a state of eternal, undifferentiated existence (the Age of Ancients with the Everlasting Dragons in *Dark Souls*, and the original "One Great" unity in *Elden Ring*).
* **The Shattering Event:** Both worlds start with a major cosmological event that broke the previous order and introduced "disparity."
    * In *Dark Souls*, this was the finding of the **Lord Souls** and the lighting of the **First Flame**, which created light and dark, life and death.
    * In *Elden Ring*, this was the literal **Shattering** of the Elden Ring, which broke the laws of the world (like Destined Death) and caused the demigods to take Great Runes.
### 3. Symbolic and "Easter Egg" Callbacks
While not lore-critical, many elements serve as clear homages:
* **Sites of Grace:** Function identically to **Bonfires**—a checkpoint, fast-travel hub, and rest spot where you level up and replenish flasks.
* **The Moonlight Greatsword:** A recurring mythical sword in every Miyazaki-directed game (including *King's Field* and *Bloodborne*) appears in *Elden Ring* as the **Dark Moon Greatsword**.
* **Patches:** The recurring cynical and cowardly character appears in almost every FromSoftware game, continuing his tradition of tricking the player and acting as a merchant.
* **The Great Tree:** The omnipresent **Erdtree** in *Elden Ring* has visual and symbolic echoes of the **Archtrees** that form the foundation of the world in *Dark Souls*.
* **Items/Mechanics:** The *Dark Souls* **Estus Flask** becomes the **Flask of Crimson Tears**, and the concept of "Runes" for currency/XP is a direct parallel to "Souls."</t>
  </si>
  <si>
    <t xml:space="preserve">Absolutely! *Elden Ring* and the *Dark Souls* series share deep thematic and structural connections, since **FromSoftware**’s worldbuilding, storytelling style, and gameplay philosophies evolved from *Demon’s Souls* → *Dark Souls* → *Bloodborne* → *Sekiro*, culminating in *Elden Ring*. Here’s a detailed breakdown of how the lore and themes relate:
---
## 1. **The Cycle of Fire and Age of Gods / Elden Ring’s Erdtree**
* In *Dark Souls*, the world revolves around the **Lord Souls** and the **First Flame**, which represents life, death, and power. Linking the fire prolongs the Age of Fire; letting it fade brings the Age of Dark.
* In *Elden Ring*, the **Erdtree** and the **Elden Ring** itself serve a similar function: they maintain the Golden Order and shape reality in the Lands Between.
* **Parallel:** Both series explore cyclical decay, the tension between maintaining order vs embracing entropy, and gods’ influence over mortals.
---
## 2. **Demigods, Lords, and Fragmented Power**
* *Dark Souls* features characters like Gwyn, Nito, and Seath, who wield fragments of immense power and leave lasting consequences for the world.
* *Elden Ring* introduces **demigods** (Godwyn, Marika’s children, Radahn, Ranni, etc.) who inherit or claim fragments of the Elden Ring, creating a fractured, war-torn world.
* **Parallel:** Both series use fragmented divine power as a narrative device, showing how ambition and hubris shape human and godly destinies.
---
## 3. **Corruption and Undeath / Rot**
* *Dark Souls* repeatedly shows the **curse of undeath**, the Abyss, and the corruption of fire. Undeath forces cycles of repetition and decay.
* *Elden Ring* features **rot, madness, and decay** through enemies like the Scarlet Rot, the Frenzied Flame, and the spreading influence of the Outer Gods.
* **Parallel:** Both explore corruption as an inevitable outcome of broken systems, whether through flame, blood, or cosmic influence.
---
## 4. **NPC Fates and Environmental Storytelling**
* In *Dark Souls*, lore is mostly in **item descriptions, environmental hints, and NPC dialogue**, encouraging players to piece together history.
* *Elden Ring* expands this philosophy with a **larger open world**, but still relies on fragmented lore: inscriptions, NPC questlines, and world architecture.
* **Parallel:** Player-driven discovery of lore remains central. The story is often **non-linear and interpretive**.
---
## 5. **Gods, Outsiders, and Cosmic Horror**
* *Dark Souls* features entities like the **Abyss, Manus, and the Primordial Serpents**, which are alien, godlike, or incomprehensible.
* *Elden Ring* introduces **Outer Gods** (e.g., the Greater Will) and mysterious, transcendent beings beyond human comprehension.
* **Parallel:** Both games present a cosmos ruled by inscrutable forces whose motivations are opaque, heightening the sense of cosmic horror.
---
## 6. **Player Role as a Chosen or Cursed Figure**
* In *Dark Souls*, the player is an undead linked to the fate of the Age of Fire. Their choices shape the continuation or ending of the world.
* In *Elden Ring*, the player is the **Tarnished**, exiled yet summoned to the Lands Between to restore or claim the Elden Ring.
* **Parallel:** Both protagonists are outsiders caught in divine or cosmic struggles, guided by prophecy yet largely free to decide the outcome.
---
## 7. **Themes of Hubris, Legacy, and Decay**
* *Dark Souls* consistently explores **hubris of gods and mortals**, the fall of kingdoms, and the impermanence of power.
* *Elden Ring* carries these themes further: the Golden Order is fractured, demigods wage war over fragments, and every major character is marked by pride or ambition.
* **Parallel:** Both universes emphasize the **cyclical nature of rise and fall**, questioning the meaning of legacy in worlds shaped by divine influence.
---
### ✅ Summary
While *Elden Ring* is not directly in the *Dark Souls* timeline, it is a **spiritual successor**, sharing:
* Fragmented, player-driven storytelling
* Divine or cosmic powers shaping a decayed world
* Themes of hubris, legacy, and decay
* Cycles of corruption, war, and moral ambiguity
FromSoftware took the **foundational lore principles of Dark Souls**—hidden histories, godlike beings, cycles of destruction—and expanded them into a **vast open world with more political intrigue, multiple factions, and cosmic layers**.
---
If you want, I can make a **side-by-side chart of Dark Souls lore elements and their Elden Ring equivalents**, which really highlights the direct inspirations and evolutions.
Do you want me to do that?
</t>
  </si>
  <si>
    <t>The lore of "Elden Ring" is widely believed to be connected to and a continuation of the thematic and mythological framework established in the "Dark Souls" series, although not a direct sequel. Here is how the lore from all the Dark Souls games relates to "Elden Ring":
- **Shared Themes and World Mechanics:** Both games explore a cycle of fire and darkness, with a "First Flame" in Dark Souls that parallels the power of the Erdtree and the Elden Ring in "Elden Ring." The decay of these vital forces brings ruin and the opportunity for renewal or conquest.
- **Interconnected Universes Theory:** Many fans and lore enthusiasts suggest that Elden Ring may be set in the same multiverse or a future continuation of the Dark Souls timeline. The "Ages" cycle seen in Dark Souls (Age of Fire, Age of Dark) has echoes in the "Ages" and decay of the Erdtree and the Lands Between.
- **Similar Creatures and Magic:** Both games feature similar enemy types (such as Basalisks, Giant Crabs) and magical structures (Miracles, Sorceries, Pyromancies) that have been merged or evolved but retain their core essence, suggesting shared lore or at least a common mythological source.
- **The Role of Gods and Lords:** The role of gods, demigods, and powerful beings struggling over cosmic forces is central to each series. In Dark Souls, the Lords of Cinder rekindle the Flame, while in Elden Ring, demigods vie for shards of the Elden Ring to become Elden Lord.
- **The Cycle of Decline and Rebirth:** Both series portray worlds in cyclical decline and rebirth through chosen or cursed individuals (Undead, Tarnished) who interact with these cosmic forces. The storytelling style leaves much open to interpretation but clearly mirrors each other's motifs.
- **Player Character as a Chosen One:** The player in both games is a seemingly ordinary or cursed individual who becomes integral to the fate of their fractured worlds by interacting with or attempting to restore cosmic order.
In summary, "Elden Ring" builds on the mythos established by the Dark Souls series with new characters, settings, and legends, but shares core elements of lore such as the nature of cosmic powers, cyclical decline, and the roles of mortals and gods in perpetuating or breaking these cycles.[1][2][3][5]
[1](https://www.reddit.com/r/Eldenring/comments/paqd2l/elden_ring_and_dark_souls_connections/)
[2](https://www.youtube.com/watch?v=niQc884ytjA)
[3](https://www.youtube.com/watch?v=y_LMqd973tI)
[4](https://gamefaqs.gamespot.com/boards/264562-playstation-5/80636063)
[5](https://www.youtube.com/watch?v=a9ZshmGZunE)
[6](https://steamcommunity.com/app/1245620/discussions/0/3279193518777008646/)</t>
  </si>
  <si>
    <t>I think you mean **"Elden Ring"** (not "Eldin Ring")!
While Elden Ring and the Dark Souls series are both created by FromSoftware and directed by Hidetaka Miyazaki, they are **separate universes with no direct lore connection**. They're not part of the same continuity or world.
**However, they share many thematic and structural similarities:**
**Common Themes:**
- Cycles of rise and fall of great kingdoms/ages
- The corruption and decay of once-great powers
- Ambiguous morality and multiple interpretations of events
- The concept of a "linking" or "mending" - choosing what to do with a great power
- Powerful beings who have lost their way or become corrupted
- Fragmented storytelling through item descriptions and environmental details
**Spiritual Connections:**
- Both feature a "Souls-like" gameplay style (obviously, since Dark Souls defined it)
- The Erdtree in Elden Ring echoes some visual and thematic elements of the First Flame and various trees in Dark Souls lore
- Demigods/Great Runes in Elden Ring parallel the Lord Souls and powerful beings in Dark Souls
- Both explore the burden of immortality and the consequences of attempting to preserve a dying age
**Key Difference:**
Elden Ring was co-written with George R.R. Martin, which gives it a different narrative structure with more upfront worldbuilding and character relationships than Dark Souls' more cryptic approach.
Think of them as spiritual successors rather than direct sequels - they explore similar philosophical questions but in completely different worlds.</t>
  </si>
  <si>
    <t>I'm feeling sad today.</t>
  </si>
  <si>
    <t>I'm really sorry to hear you're feeling sad today. If you want, you can share what's been going on, and I'll listen—sometimes just talking it out helps a bit. Or, if you'd rather, I could suggest something light to lift your mood, like a fun idea or a little distraction. What do you think?</t>
  </si>
  <si>
    <t>Chatting</t>
  </si>
  <si>
    <t>I'm really sorry to hear you're feeling sad today. That's a completely valid feeling, and it's okay to acknowledge it.
Sometimes, just giving yourself a moment and recognizing how you feel can make a small difference. If you're up for it, here are a few simple things you could try, depending on what feels right for you:
* **A Small Act of Comfort:** Could you make yourself a warm drink, put on a favorite comfy sweater, or listen to a song that usually helps?
* **A Moment of Distraction:** Sometimes a short, simple distraction is helpful. Maybe read a few pages of a book, watch a funny 5-minute video, or work on a very easy puzzle.
* **Gentle Movement:** If you have the energy, even just a 10-minute walk outside or a few stretches indoors can sometimes shift your mood slightly.
Please be kind to yourself today. There's no pressure to be "happy," just focus on getting through the next hour.
Is there anything specific you feel like doing or talking about right now?</t>
  </si>
  <si>
    <t xml:space="preserve">I’m really sorry you’re feeling sad today. 💙
Do you want to talk about what’s weighing on you, or would you rather I just keep you company and maybe distract you with something comforting?
</t>
  </si>
  <si>
    <t>I’m sorry to hear that today feels tough. Sadness is part of being human, and sometimes sharing how things feel or simply taking small steps—like listening to comforting music, going for a walk, or reaching out to someone trusted—can help lighten the load a bit. If you want, sharing more about what’s on your mind or what’s making you sad can be a gentle way to process those feelings. 
If you’d like, I can offer some mood-lifting poems, comforting stories, or even some Halloween-themed jokes based on your interests. And remember: it’s okay to feel sad, and taking care of yourself—even in small ways—matters.</t>
  </si>
  <si>
    <t>I'm sorry to hear you're having a tough day. Sadness is a natural part of being human, even though it doesn't make it feel any easier in the moment.
Do you want to talk about what's weighing on you? Sometimes it helps just to put it into words, but there's no pressure if you'd rather not. I'm here to listen either way, or we could talk about something else if that would be more helpful for you right now.</t>
  </si>
  <si>
    <t>My best friend just ghosted me out of nowhere! Can you believe that?</t>
  </si>
  <si>
    <t>Oh, that’s rough! I can totally see why you’re feeling sad—being ghosted by your best friend out of nowhere stings. It’s like, one minute you’re tight, and then—poof—they’re gone. Want to vent about what happened? Maybe we can figure out if there’s a way to reconnect or at least make sense of it. Or, if you need a pick-me-up, I can toss out some ideas to take your mind off it. What’s the vibe you’re feeling right now?</t>
  </si>
  <si>
    <t>Oh my gosh, that is absolutely **unbelievable** and completely awful. I am so sorry you're going through that.
Being ghosted by anyone hurts, but when it's your **best friend**, someone you shared a deep connection and history with, it's a profound and shocking kind of pain. It's totally understandable that you're feeling confused, angry, and deeply hurt right now.
That feeling of being dropped without explanation is one of the hardest parts. Your mind naturally goes into overdrive trying to find a reason, and you're left with this enormous, painful question mark.
Please know that **their choice to ghost you says everything about their inability to handle conflict or communication, and absolutely nothing about your worth as a friend.** You deserved a clear conversation and respect, not silence.
---
### What You Might Be Feeling Right Now
It might help to know that the mix of emotions you're experiencing is normal when a close friendship ends this way:
* **Shock and Disbelief:** Because it was so sudden and out of character for a best friend relationship.
* **Confusion:** Trying to replay conversations to figure out what you might have done "wrong" (when you likely did nothing).
* **Anger:** That they would disrespect you and the friendship by choosing silence.
* **Grief:** You are truly mourning a loss—the loss of a person you confided in and relied on.
---
### Gentle Suggestions for the Next Few Days
Focus on taking care of yourself right now. Here are a few things that might help you process this:
1.  **Let Yourself Be Angry:** It's okay to be mad. Write down all the angry, confused, or hurt thoughts in a private journal or a note on your phone. Getting it out can be therapeutic.
2.  **Lean on Others:** Reach out to another trusted friend, family member, or colleague. You don't have to be fine right now, and letting someone else know what happened will remind you that you are still loved and supported.
3.  **Hold Off on Contact (For Now):** Resist the urge to keep sending texts or messages demanding an explanation. Give yourself some space. If they wanted to talk, they would have. Protecting your own peace is the priority.
4.  **Do Something Distracting:** Treat yourself with a kindness—watch a favorite movie, go for a run, or work on a hobby. Let yourself have a few hours where you aren't focused on this one painful event.
This is a terrible situation, and I'm really sorry you're having to deal with it. Do you want to vent more about what happened, or would you rather talk about something else to take your mind off of it?</t>
  </si>
  <si>
    <t xml:space="preserve">Ouch… I can absolutely believe how much that hurts. Having someone you trust just *disappear* like that feels like the rug’s been pulled out from under you. It’s confusing too—you’re left with all these unanswered questions, wondering if you did something wrong, when really it says more about where *they* are at than about you.
Do you want to vent about what happened between you two, or should we focus more on how you can take care of yourself right now?
</t>
  </si>
  <si>
    <t>It is indeed very hurtful and confusing when a best friend suddenly ghosted without any explanation. People ghost their friends for various reasons like needing space, avoiding confrontation, feeling overwhelmed emotionally, or even due to lack of interest or immaturity. Sometimes mental health issues or past traumas can also lead to ghosting behaviors. It's often not about the person who got ghosted but about the ghoster's own struggles or needs.[1][2][3]
Coping with being ghosted can start with acknowledging the sadness and pain, and then doing some soul-searching to see if anything might have unintentionally caused a rift. However, it's important not to blame oneself unnecessarily. Talking it out with others or seeking therapy can help heal. Also, after trying to understand and reach out calmly one last time, the healthiest option might be to let go and focus on self-care and emotional wellbeing.[4][5][6][7]
Would it be helpful to get some specific advice on how to approach your friend or to move on from this experiencee?
[1](https://www.reddit.com/r/FriendshipAdvice/comments/1dxerz3/what_does_it_really_mean_when_a_friend_you_were/)
[2](https://www.buzzfeed.com/ravenishak/ghosting-a-friend)
[3](https://imindmental.com/article/why-do-people-ghost-the-psychology-of-ghosting/)
[4](https://ninaamir.com/steps-friend-ghosts-you/)
[5](https://www.verywellmind.com/how-to-cope-with-being-ghosted-5101153)
[6](https://healthyhelperkaila.com/ghosted-by-a-friend-5-steps-to-moving-on-from-toxic-relationships/)
[7](https://www.counselling-directory.org.uk/articles/being-ghosted-by-a-friend-why-it-happens-and-how-to-cope)
[8](https://www.yahoo.com/lifestyle/friend-group-suddenly-ghosted-without-161226059.html)
[9](https://www.purewow.com/wellness/what-to-text-when-friend-ghosts-you)
[10](https://www.simplypsychology.org/why-do-i-ghost-someone-when-i-like-them.html)
[11](https://www.reddit.com/r/AskWomenOver30/comments/16eh9nu/how_would_you_approachconfront_a_friend_thats/)
[12](https://www.mother.ly/relationships/community-friendship/my-friend-ghosted-me/)
[13](http://www.bestfriendsfornever.com.au/confessions/2022/9/9/five-reasons-friends-ghost)
[14](https://www.oprahdaily.com/life/relationships-love/a45826037/friendship-ghosting/)
[15](https://www.reddit.com/r/CasualConversation/comments/1gbix3i/why_do_old_friends_ghost/)
[16](https://www.youtube.com/watch?v=J2z-VNHJBkY)
[17](https://time.com/4779713/friendship-ghosting/)</t>
  </si>
  <si>
    <t>That's really painful, and I'm sorry you're going through this. Being ghosted by a best friend - someone you trusted and cared about - can feel incredibly hurtful and confusing, especially when it happens without warning or explanation.
It's completely understandable that you're upset. When someone just disappears like that, it leaves you with so many unanswered questions and can make you second-guess everything about the friendship. The sudden silence where there used to be closeness is really hard to process.
Has this been going on for a while, or did it just happen recently? And have you been able to reach out to them at all, or does it feel like they're completely unreachable right now?
Whatever the situation, your feelings about this are valid. It's okay to feel hurt, angry, confused, or all of the above.</t>
  </si>
  <si>
    <t>I would really like to listen to some music that will cheer me up, any suggestions?</t>
  </si>
  <si>
    <t>I'm sorry you're going through this—music can be a great mood booster! I've curated a list of upbeat, empowering songs that are all about shaking off the blues, dancing it out, or just feeling good vibes. These are feel-good anthems with positive energy to help lift your spirits. You can find them on Spotify, YouTube, Apple Music, or wherever you stream.
Here's a quick selection across a few genres:
| Song Title | Artist | Why It Might Cheer You Up |
|------------|--------|---------------------------|
| Happy | Pharrell Williams | It's literally designed to make you clap along and smile—pure infectious joy! |
| Shake It Off | Taylor Swift | Perfect for brushing off negativity; it's all about not letting haters (or ghosters) get you down. |
| Don't Stop Me Now | Queen | High-energy rock that feels like a burst of freedom and fun—great for singing at the top of your lungs. |
| Uptown Funk | Mark Ronson ft. Bruno Mars | Funky, danceable beat that'll get you moving and forgetting your worries. |
| Walking on Sunshine | Katrina and the Waves | Retro '80s pop that's bubbly and optimistic, like a sunny day in audio form. |
| Can't Stop the Feeling! | Justin Timberlake | Super catchy and motivational—ideal for a quick mood reset with its groovy rhythm. |
| Roar | Katy Perry | Empowering anthem about finding your strength and roaring back at life's setbacks. |
Start a playlist with these, crank up the volume, and maybe even dance around a bit—it releases endorphins! If you have a favorite genre (like pop, indie, or hip-hop) or mood (more chill or hype), let me know, and I can suggest more tailored picks. How's that sound? 😊</t>
  </si>
  <si>
    <t>Sure, I'll use YouTube Music. First, you'll need to connect YouTube Music to turn on this app.</t>
  </si>
  <si>
    <t xml:space="preserve">Absolutely 💙 music can be such a comfort when you’re feeling low. Since you want something to cheer you up, here are a few vibes you could go for—depending on what feels best right now:
* **Warm &amp; Uplifting** – Songs with bright melodies and positive lyrics (think indie-pop, feel-good folk, or light electronic).
* **Energetic &amp; Fun** – Upbeat pop, disco, or dance tracks that make you want to move around a little.
* **Comforting &amp; Gentle** – Soft acoustic or lo-fi beats that soothe without being heavy.
Here are a few artists/playlists you might enjoy:
* **Glass Animals** (quirky, upbeat indie vibes)
* **Lizzo** (pure confidence and joy)
* **Tame Impala** (dreamy, groovy, and uplifting)
* **Lo-fi Beats playlists** on YouTube or Spotify (cozy background music if you just want to breathe)
* **“Good Vibes” or “Happy Hits”** playlists on Spotify/Apple Music (curated for exactly this mood)
Would you like me to put together a *specific little playlist suggestion* (like 8–10 songs across genres) for you to listen to right now?
</t>
  </si>
  <si>
    <t>Here are some great uplifting music suggestions to cheer up your mood:
- Spotify's "100 Uplifting Songs" playlist offers happy songs and good vibes that are guaranteed to make you smile and feel good.[1]
- YouTube has positive energy chill music mixes, such as "A Playlist Full of Positive Energy Uplifting &amp; Happy Chill Music Mix," which is filled with soothing and uplifting tunes.[2]
- For something upbeat and danceable, try "Feeling Happy | Upbeat Dance Hits 2025" on Apple Music, including artists like Tiësto, Calvin Harris, and David Guetta[3].
- Classic happy rock &amp; roll songs like "Mr. Blue Sky" by Electric Light Orchestra, "Livin' on a Prayer" by Bon Jovi, or "Happy" by Pharrell Williams are timeless mood boosters.[4]
- If you like chill vibes, the "Happy Vibes: Best Songs You Will Feel Happy and Positive After Listening To It" playlist on YouTube offers motivational and relaxing tunes.[5]
- Popular happy songs playlists curated for 2025 feature feel-good hits for mornings, shopping, or dancing, including songs like "Can't Hold Us" by Macklemore and "Good Feeling" by Flo Rida.[6][7]
These should help lift spirits and bring some positive energy to the day. Would you like some specific song recommendations from these playlistssts?[9][1][10]
[1](https://open.spotify.com/playlist/6Qf2sXTjlH3HH30Ijo6AUp)
[2](https://www.youtube.com/watch?v=CpNBODqTA34)
[3](https://music.apple.com/tj/playlist/feeling-happy-upbeat-dance-hits-2025/pl.7428ff11179c4186acab2660b4a8ccc2)
[4](https://addthismusic.com/happiest-songs-ever/)
[5](https://www.youtube.com/watch?v=LiM8IXH5eWE)
[6](https://open.spotify.com/playlist/1wxZJRYWGwN8eCZDnsAun0)
[7](https://open.spotify.com/playlist/7s09coXLGbofhNrwSusr4G)
[8](https://www.youtube.com/playlist?list=PLeDakahyfrO9EPCwHmosEB_M0tdL1lDwz)
[9](https://music.apple.com/us/playlist/100-happy-uplifting-songs/pl.65295bdea8ad41c5827827af8bdbbfef)
[10](https://www.reddit.com/r/MusicRecommendations/comments/1ksmakf/upliftinghappy_songs_for_my_happy_playlist/)
[11](https://www.reddit.com/r/SpotifyPlaylists/comments/1j6b0n2/100_timeless_uplifting_happy_music_songs_of_2025/)
[12](https://www.youtube.com/watch?v=k7Z02NVzrHU)
[13](https://www.reddit.com/r/musicsuggestions/comments/1dj6gcl/songs_that_make_you_feel_genuinely_hopeful_about/)
[14](https://parade.com/946264/parade/happy-songs/)
[15](https://www.youtube.com/watch?v=4ZqLSQj6dvE)
[16](https://www.reddit.com/r/MusicRecommendations/comments/1lnk69p/whats_the_best_songs_of_2025_so_far_im_looking_to/)
[17](https://www.reddit.com/r/MusicRecommendations/comments/1kpm1mj/give_me_the_happiest_songs_you_know_or_just_ones/)
[18](https://www.youtube.com/channel/UCtBBEQw4SFYOcrZKzY7quCQ)
[19](https://open.spotify.com/playlist/1llkez7kiZtBeOw5UjFlJq)
[20](https://www.youtube.com/playlist?list=PLinS5uF49IBo8HLKBDAjQaeiN4TjHi75Q)</t>
  </si>
  <si>
    <t>Music can be such a great mood lifter! Here are some suggestions that might help:
**Upbeat feel-good songs:**
- "Don't Stop Me Now" by Queen - pure energy and joy
- "Walking on Sunshine" by Katrina and the Waves - impossible not to smile
- "Good as Hell" by Lizzo - empowering and fun
- "Mr. Blue Sky" by Electric Light Orchestra - sunny and uplifting
- "Shake It Off" by Taylor Swift - perfect for shaking off negativity
- "I Wanna Dance with Somebody" by Whitney Houston - classic feel-good energy
**Or if you want something more chill but still positive:**
- "Three Little Birds" by Bob Marley - reassuring and calming
- "Here Comes the Sun" by The Beatles - hopeful and gentle
- "Good Vibrations" by The Beach Boys - bright and positive
The best choice really depends on your taste in music. Do you have a favorite genre or style? I can give you more targeted suggestions if you let me know what you usually enjoy listening to.
Sometimes starting with something high-energy can shift your mood, or sometimes something gentler feels more right. Trust your instincts on what sounds good to you right now.</t>
  </si>
  <si>
    <t>I eat sushi as my comfort food, and bubble tea too. What do you think is a good comfort food/drink?</t>
  </si>
  <si>
    <t>Sushi and bubble tea as comfort food? Love that vibe—fresh, flavorful, and that boba chew is so satisfying! Since you’re into those, I’ll lean into similar comforting yet fun options that hit that same cozy, indulgent spot. Here are a few comfort food and drink ideas that might complement your taste for sushi’s umami and bubble tea’s playful sweetness:
### Comfort Foods
- **Ramen**: A steaming bowl of ramen with rich broth, chewy noodles, and toppings like soft-boiled egg, nori, or chashu pork. It’s warm, soul-soothing, and has that Japanese flair that pairs well with your sushi love. Try miso or tonkotsu for extra comfort.
- **Onigiri**: These rice balls are simple yet so comforting—think warm, fluffy rice wrapped in seaweed with fillings like ume (pickled plum) or salmon. They’re portable, cute, and perfect for a quick mood lift.
- **Korean Fried Chicken**: Crispy, slightly sweet, and spicy, this is a fun, indulgent treat. The crunch and bold flavors (like soy garlic or gochujang glaze) can be a great pick-me-up, especially if you want something shareable to enjoy with a friend (or to treat yourself!).
### Comfort Drinks
- **Matcha Latte**: Creamy, earthy, and a little sweet, a matcha latte feels like a warm hug in a cup. It’s got that Japanese aesthetic you seem to vibe with, and you can make it iced for a bubble tea-esque refreshment.
- **Hojicha Milk Tea**: Roasted green tea with a toasty, nutty flavor, mixed with milk (dairy or plant-based). It’s less intense than matcha but super cozy, and you can add tapioca pearls for that boba fix.
- **Yuzu Sparkling Tea**: Bright, citrusy, and fizzy, this drink is uplifting and light. The tangy yuzu flavor feels like a burst of sunshine, perfect for cheering up.
Since you love sushi’s delicate flavors and bubble tea’s fun texture, these picks aim for that balance of comforting yet exciting. If you’re craving something specific—like savory, sweet, or maybe even vegetarian—let me know, and I can tailor the list further. Also, do you have a favorite sushi roll or boba flavor you lean toward when you’re feeling down? That might spark more ideas! 😊</t>
  </si>
  <si>
    <t>That is a fantastic combination! Sushi and bubble tea sound like the perfect mix of fresh, savory, and sweet/chewy—it hits all the right notes for comfort.
I think the definition of a **"good" comfort food/drink is anything that brings you genuine happiness and makes you feel warm, safe, and momentarily relaxed.**
For me, personally, I find a lot of comfort in things that are:
* **Nostalgic:** Foods that remind me of childhood, like a really perfect bowl of macaroni and cheese or a fresh-baked chocolate chip cookie.
* **Warm and Hydrating:** Like a hearty bowl of rich, creamy tomato soup, or a steaming mug of jasmine tea with honey.
* **Simple and Satisfying:** Foods that require no effort but deliver maximum flavor, like perfectly salted, crunchy potato chips.
Ultimately, your sushi and bubble tea choice is a perfect comfort pairing because **it's what *you* crave and what *you* associate with feeling good!** If it makes you happy, it's the best comfort food there is.</t>
  </si>
  <si>
    <t xml:space="preserve">Sushi and bubble tea are *fantastic* comfort choices — you get the balance of something fresh and satisfying, plus the sweet, cozy drink to go with it. 🌸
For me, I’d say the best comfort foods/drinks are the ones that bring a little nostalgia or warmth:
* **Mac &amp; cheese** or **ramen** — warm, creamy, filling, like a hug in a bowl.
* **Hot chocolate** with marshmallows — especially good if you want something sweet and soothing.
* **Freshly baked bread or pastries** — there’s something grounding about that warm, buttery smell.
* **Tea (jasmine, chamomile, or chai)** — gentle and calming, depending on your mood.
It’s less about the “type” and more about what makes *you* feel cared for. 💙
Do you usually go for sushi + boba when you’re sad, or is it more like your “treat yourself” ritual anytime?
</t>
  </si>
  <si>
    <t>Sushi and bubble tea are both popular comfort foods that offer a soothing and satisfying experience, and many people find their own comfort in foods from their culture or childhood. Globally, comfort foods range from cheesy French-Canadian poutine, Japanese curry udon, mashed potatoes, to warm baked goods like apple cake or fluffy pancakes. In many countries, classic dishes such as ramen (Japan), risotto (Italy), baked ziti (USA), or schnitzel (Germany) are favorites for cozy meals.[1][2][3][4]
For comforting drinks, people love milk-based beverages—like strawberry moon milk, salted caramel milkshakes, or cozy dark hot chocolate. Herbal teas such as chamomile or peppermint, warm apple cider, and nostalgic sweets like unicorn milkshakes and creative matcha floats are trending for 2025. Functional beverages with ingredients like turmeric, ginger, and adaptogens are gaining popularity as feel-good options too.[5][6][7]
Ultimately, a good comfort food or drink is whatever brings warmth, enjoyment, and relaxation—a flavorful soup, sweet treat, or unique local dish can all help soothe the spirit.[2][1][5]
[1](https://www.tasteofhome.com/collection/best-comfort-food-around-the-world/)
[2](https://www.allrecipes.com/our-30-best-comfort-food-recipes-11804689)
[3](https://www.reddit.com/r/Cooking/comments/vxcueg/nonamericans_of_reddit_what_are_some_comfort/)
[4](https://www.classicjourneys.com/blog/tastes-of-travels-best-comfort-food/)
[5](https://www.floridamilk.com/in-the-news/blog/recipes/12-calming-and-cozy-drinks.stml)
[6](https://www.pushoperations.com/blog/whats-hot-for-summer-2025-top-flavors-dishes-and-drinks-to-add-to-your-menu)
[7](https://www.bbcgoodfood.com/howto/guide/top-10-warming-drinks-your-flask)
[8](https://food52.com/story/28619-top-food-trends-2025)
[9](http://www.dvo.com/newsletter/monthly/2022/october/tabletalk2.html)
[10](https://grabthemangos.com/most-comforting-drinks/)
[11](https://www.foodnavigator.com/Article/2025/03/26/top-10-new-food-and-beverage-trends-in-2025/)
[12](https://www.youtube.com/watch?v=T4NOt727wqI)
[13](https://www.tasteofhome.com/collection/warm-and-cozy-drink-recipes/)
[14](https://www.cozymeal.com/magazine/top-food-trends)
[15](https://www.thespruceeats.com/comfort-food-dishes-from-around-the-world-5112909)
[16](https://www.reddit.com/r/evilautism/comments/1e5zlqr/screw_comfort_foods_what_is_your_comfort_drink/)
[17](https://texrestaurantsupply.com/news/top-food-trends-in-2025-whats-shaping-the-way-we-eat-this-year/)
[18](https://www.buzzfeed.com/claudiasantos/cultural-comfort-meals)
[19](https://www.reddit.com/r/foodies_sydney/comments/1i6bkxh/food_trends_for_2025_roundup_of_some_of_the/)
[20](https://www.littlesugarsnaps.com/category/drinks-recipes/hot-drinks-recipes/)</t>
  </si>
  <si>
    <t>Oh, sushi and bubble tea are excellent comfort choices! There's something really satisfying about the combination of fresh flavors in sushi, and bubble tea has that perfect mix of sweetness and fun texture with the tapioca pearls.
I think what makes a good comfort food or drink is really personal - it's usually something that hits multiple senses in a satisfying way and has positive associations for you. Your choices make a lot of sense because sushi can feel both indulgent and light at the same time, and bubble tea is interactive and sweet without being too heavy.
Some people go for warm, nostalgic things like mac and cheese, soup, or hot chocolate. Others find comfort in something cold and refreshing like ice cream or smoothies. Some need something crunchy and salty like chips or fries, while others want something sweet like cookies or chocolate.
For me, if I had to think about what many people seem to gravitate toward, it's often foods that either remind them of happy times or have a really satisfying sensory experience - creamy, crunchy, warm, cold, sweet, savory, or some combination.
Since you're dealing with a rough day, treating yourself to some sushi and bubble tea sounds like a really good idea. Sometimes taking care of yourself with something you enjoy can help a little bit, even when things feel hard.</t>
  </si>
  <si>
    <t>Can you recommend a movie to watch to take my mind off things?</t>
  </si>
  <si>
    <t>I’m so sorry you’re feeling down after being ghosted—that’s tough, and I’m glad you’re looking for a movie to lift your spirits! Since you love sushi and bubble tea, I’m thinking you might enjoy something vibrant, fun, and immersive to match that playful yet comforting vibe. Based on your past interest in vivid, escapist settings like 1920s Paris or Pandora’s tribes from *Avatar*, I’ll suggest movies that transport you somewhere else, with lighthearted or feel-good energy to distract from the blues.
### Movie Recommendations
1. **Amélie (2001)**  
   - **Why it fits**: This French gem is whimsical, colorful, and heartwarming, with a quirky heroine who spreads joy in Paris. Its playful visuals and charming story feel like sipping bubble tea—sweet, fun, and uplifting. It’s perfect for escaping into a magical world where small acts of kindness shine.  
   - **Vibe**: Romantic, quirky, feel-good. Like sushi, it’s delicate but packed with flavor.  
   - **Where to watch**: Available on streaming platforms like Amazon Prime, Apple TV, or Kanopy (check availability in your region).  
   - **Runtime**: 2h 2m.
2. **Crazy Rich Asians (2018)**  
   - **Why it fits**: This rom-com is a dazzling, over-the-top escape to Singapore’s glitzy world, with vibrant food scenes (think street food and dumplings) that might resonate with your sushi love. It’s funny, romantic, and empowering, with a focus on friendship and self-worth—great for shaking off ghosting woes.  
   - **Vibe**: Glamorous, funny, heartfelt. Like a boba tea burst of sweetness and energy.  
   - **Where to watch**: Stream on Netflix, HBO Max, or rent on YouTube/Amazon.  
   - **Runtime**: 2h.
3. **The Grand Budapest Hotel (2014)**  
   - **Why it fits**: Wes Anderson’s quirky, visually stunning comedy is like a cinematic dessert—colorful and delightful. Set in a fictional European hotel, it’s a wild, funny adventure that’s perfect for getting lost in a story. Your past love for vivid settings like Paris or Pandora suggests you’d enjoy its unique, immersive world.  
   - **Vibe**: Eccentric, adventurous, visually lush. Think of it as sushi for the eyes—artfully crafted and satisfying.  
   - **Where to watch**: Available on Disney+, Hulu, or for rent on Amazon/YouTube.  
   - **Runtime**: 1h 39m.
### Why These Work
These movies are light, engaging, and transportive, pulling you into worlds full of charm and color to take your mind off things. *Amélie* leans into quiet joy, *Crazy Rich Asians* brings bold fun, and *The Grand Budapest Hotel* offers a quirky escape. Pair one with some sushi or boba for the ultimate comfort combo!
If you have a specific genre in mind (like animation, action, or more romance) or a streaming service you prefer, let me know, and I can tweak the suggestions. Also, do you want something short to fit a quick mood-lift or a longer escape? 😊</t>
  </si>
  <si>
    <t>That is the perfect thing to do. You need something light, genuinely funny, and completely distracting!
Here are three excellent, highly-rated movies that are known for being instant mood-lifters:
1.  ***The Princess Bride*** **(1987):**
    * **Why it helps:** It's an endlessly quotable, charming, and witty fantasy adventure that is pure comfort. It has swashbuckling, true love, giants, and hysterical characters—it's impossible to watch without smiling. It's often cited as one of the ultimate "feel-good" movies.
2.  ***Paddington 2*** **(2017):**
    * **Why it helps:** This movie is cinematic sunshine. It is incredibly wholesome, visually delightful, and genuinely hilarious, with an optimistic view of the world. It’s a beautifully crafted family film that critics and adults universally adore. It’s perfect for a cozy, non-stressful escape.
3.  ***School of Rock*** **(2003):**
    * **Why it helps:** Jack Black is at his most manic and lovable, and the movie has a fantastic, high-energy soundtrack. It's about a substitute teacher who forms a rock band with his prep school class. It's funny, heartwarming, and full of great music that will get your head nodding.
Which one sounds like the best escape right now?</t>
  </si>
  <si>
    <t xml:space="preserve">Of course 💙 A good movie can really pull you out of your own head for a while. Since you want something to *take your mind off things*, here are a few directions we could go:
**Feel-good / Cozy:**
* *Paddington 2* — sweet, funny, and genuinely heartwarming.
* *The Secret Life of Walter Mitty* — a bit whimsical, adventurous, and uplifting.
* *Enchanted* — lighthearted Disney magic with lots of laughs.
**Laugh-out-loud:**
* *The Grand Budapest Hotel* — quirky and stylish with offbeat humor.
* *Crazy Rich Asians* — romantic, funny, and visually stunning.
* *Superbad* — if you want pure chaotic comedy.
**Animated Comfort:**
* *Spider-Man: Into the Spider-Verse* — visually gorgeous, fun, and inspiring.
* *Moana* or *Encanto* — colorful, musical, and joyful.
* *Howl’s Moving Castle* — cozy, magical, and dreamy.
Would you like me to suggest **one specific movie** that matches your mood right now (like comfort vs comedy vs adventurous escape)?
</t>
  </si>
  <si>
    <t>When you need to take your mind off things, feel-good movies with plenty of warmth, humor, and heart can be a perfect escape. Here are a few comforting movie recommendations that come up again and again for their ability to cheer people up:Other feel-good recommendations include movies like *Paddington*, *Dog Gone*, *Moxie*, and classics such as *Charlotte's Web* and *Dirty Dancing*. If you prefer something purely cheerful and low-stakes, movies like *Kiki’s Delivery Service* or *Shaun the Sheep Movie* are also favorites.[1][2][3]
Pick whichever matches your mood—something with food, romance, adventure, or a dash of whimsy. These films can offer the gentle distraction and comfort you need today.
[1](https://www.theurbanlist.com/a-list/best-feel-good-movies-netflix)
[2](https://www.reddit.com/r/movies/comments/1mjmpsm/best_feelgood_wholesome_films_of_2025/)
[3](https://www.wondermind.com/article/feel-good-movies/)
[4](https://www.buzzfeed.com/bendzialdowski/films-for-when-youre-sad)
[5](https://www.hulu.com/guides/sad-movies)
[6](https://www.reddit.com/r/Letterboxd/comments/17udhen/which_movies_do_you_watch_if_you_feel_saddepressed/)
[7](https://editorial.rottentomatoes.com/guide/best-new-movies/)
[8](https://www.reddit.com/r/movies/comments/u63prq/movies_to_watch_after_a_shitty_day/)
[9](https://editorial.rottentomatoes.com/guide/sad-movies/)
[10](https://www.imdb.com/list/ls063555915/)
[11](https://editorial.rottentomatoes.com/guide/great-feel-good-movies/)
[12](https://www.netflix.com/tudum/articles/sad-movies)
[13](https://variety.com/lists/best-movies-of-2025-so-far/)
[14](https://www.imdb.com/list/ls071995207/)
[15](https://www.imdb.com/list/ls042312619/)
[16](https://www.netflix.com/in/browse/genre/10579)
[17](https://www.netflix.com/browse/genre/10579)
[18](https://galadarling.com/article/33-movies-to-watch-when-youre-sad-glum-or-bummed-out/)
[19](https://www.rottentomatoes.com/browse/movies_at_home/genres:kids_and_family)
[20](https://witanddelight.com/2018/10/movies-bad-days-weeks-years/)</t>
  </si>
  <si>
    <t>Absolutely! Here are some movies that might help take your mind off things:
**If you want something light and funny:**
- "The Grand Budapest Hotel" - visually beautiful, quirky, and charming
- "Paddington" or "Paddington 2" - surprisingly delightful and heartwarming
- "Crazy Rich Asians" - fun, gorgeous, and feel-good
- "Knives Out" - clever mystery that's entertaining and engaging
**If you want something absorbing and adventurous:**
- "Spider-Man: Into the Spider-Verse" - visually stunning with great energy
- "The Princess Bride" - classic adventure with humor and heart
- "Mad Max: Fury Road" - pure adrenaline that demands your full attention
- "Everything Everywhere All at Once" - wild, creative, and emotionally satisfying
**If you want something cozy and comforting:**
- "Kiki's Delivery Service" or any Studio Ghibli film - gentle and magical
- "Chef" - relaxing, food-focused, and optimistic
- "Amélie" - whimsical and life-affirming
**If you want something that'll fully distract you:**
- "Inception" - complex enough to occupy your entire brain
- "The Martian" - engaging problem-solving with humor
What kind of mood are you in? Do you want something that'll make you laugh, something visually captivating, or something that'll just completely absorb your attention?</t>
  </si>
  <si>
    <t>I really want to just sit down and cuddle my cat, but she's being grumpy today.</t>
  </si>
  <si>
    <t>Aww, I feel you—nothing beats cuddling your cat for comfort, and it’s such a bummer when they’re in a grumpy mood! Since you’re craving that cozy vibe and your cat’s not cooperating (classic feline move), I’ll suggest a movie that’s warm, uplifting, and pairs perfectly with your sushi and bubble tea comfort ritual. Given your love for vivid, escapist settings like 1920s Paris or Pandora’s lush world from past chats, I’ll pick something immersive yet soothing to take your mind off the ghosting and your cat’s mood.
### Movie Recommendation
**Kiki’s Delivery Service (1989)**  
- **Why it fits**: This Studio Ghibli gem is a heartwarming animated tale about a young witch, Kiki, finding her place in a charming seaside town with her sassy black cat, Jiji. It’s gentle, magical, and full of cozy vibes—perfect for curling up with a blanket (and maybe some sushi or boba) while dreaming of a world where kindness wins. The cat element feels like a nod to your grumpy feline friend, and its colorful, immersive world aligns with your taste for vibrant settings. Plus, it’s light enough to lift your spirits without being too heavy.  
- **Vibe**: Whimsical, heartfelt, and soothing—like a warm hug with a side of adventure. It’s got that sushi-like balance of simple yet satisfying.  
- **Where to watch**: Stream on Max, Netflix (in some regions), or rent on Amazon/YouTube.  
- **Runtime**: 1h 43m—short enough for a quick escape but long enough to get lost in.
### Why This Works
*Kiki’s Delivery Service* is like a cinematic bubble tea—sweet, refreshing, and just the right amount of playful. It’s got that Ghibli magic to whisk you away from feeling sad, with a focus on self-discovery and small, joyful moments that might resonate after your friend’s ghosting. You can imagine your cat eventually warming up to snuggle while you watch Kiki and Jiji’s adventures.
If your cat’s still being a grump, maybe try luring her with a soft blanket or a treat to set the mood! 😄 If you want something in a different genre (like live-action or comedy) or have a specific streaming platform, let me know. Also, what’s your cat’s usual grumpy behavior—hiding, swatting, or just giving you the stink-eye? Might help me suggest ways to win her over!</t>
  </si>
  <si>
    <t>I completely understand! There are few things more frustrating than when your best comfort source (your cat!) decides to be unavailable. It's like they know exactly when you need them most and choose that moment to embrace their inner diva.
Since your feline friend is enforcing her boundaries today, here are a few gentle ways you can still get some of that comforting "cat energy" without forcing a cuddle, which might just make her grumpier:
### Option 1: The Proximity Power Play
The goal here is to be near her without making direct demands for attention.
* **The Lure:** Put your comfiest blanket or pillow on the floor about six feet away from where she's currently resting.
* **The Wait:** Lie down or sit there, ignoring her entirely. Open a book, put in one headphone to listen to a podcast, or start scrolling on your phone.
* **The Payoff (Maybe):** Cats are often drawn to people who are busy and not looking at them. By simply being a *calm, non-demanding, warm body* in her vicinity, you increase the chance that **she** will decide to migrate over and settle down near you (or even on you!) on her own terms.
---
### Option 2: Comfort *Around* Her
If she won't cuddle, you can still use the items she loves to comfort yourself:
* **Cozy up with a Stand-In:** Grab a plush throw blanket that smells like your house and maybe even a little bit like her. Wrap yourself up and enjoy your sushi and bubble tea.
* **The Grooming Hack:** If she allows it, try a brief moment of non-cuddle interaction. Brush her for a few minutes. Brushing is usually soothing for both the cat and the human, and it releases those nice bonding hormones without the pressure of a lap cuddle.
Hang in there. She'll likely come around for a snuggle later tonight when you least expect it!</t>
  </si>
  <si>
    <t xml:space="preserve">That’s tough 💙—when all you want is some soft purring comfort and your cat’s like *“nope, not today.”* Cats definitely have those moods where they need their space. It’s not about you—it’s just her little cat brain saying *“I’m queen of this castle, cuddle requests denied.”*
Maybe instead of forcing it, you could make the space cozy for *both* of you—like sit with a blanket, put on that comfort movie, and let her come to you if she feels like it. Sometimes when you’re relaxed and not trying too hard, cats decide it’s suddenly cuddle time.
Do you want me to suggest a couple ways to coax her into a softer mood without stressing her out?
</t>
  </si>
  <si>
    <t>Cuddling with a cat is usually one of the most soothing ways to relax, but sometimes cats have their own moods and prefer space—especially if they feel overstimulated or just want to nap alone. Giving your cat a calm environment, offering treats, or gently petting her when she comes near might encourage her to warm up eventually. Sometimes sitting quietly with a book or listening to soft music can help her feel safe, and she might choose to cuddle when she feels ready.[1]
Even if she’s grumpy right now, being near her can still be comforting, and she'll likely come around when she wants affection. Every cat has their own rhythm for closeness, and respecting her mood can strengthen trust over time.[1]
[1](https://www.buzzfeed.com/bendzialdowski/films-for-when-youre-sad)</t>
  </si>
  <si>
    <t>Aw, of course your cat would choose today to be uncooperative! It's like they have a sixth sense for when we need them most and decide that's the perfect time to be aloof.
Cats can be so particular about when they want affection. Maybe she's picking up on your energy, or maybe she's just being a typical cat and doing her own thing. Have you tried any of the classic cat bribery tactics - treats, her favorite toy, or just sitting near her without trying to touch her? Sometimes they come around when they feel like it's their idea.
In the meantime, even just being in the same room as her might be a little comforting, even if she's not ready for cuddles yet. Or maybe she'll surprise you and decide lap time is happening in a bit when she's done being grumpy.
It sounds like today is just one of those days where multiple things aren't going your way - your friend, and now even your cat is being difficult. That's frustrating on top of already feeling down. I hope she comes around soon and gives you those cuddles you need. Cats have a way of eventually warming up, usually right when you've given up trying.</t>
  </si>
  <si>
    <t xml:space="preserve">What is your favorite animal? </t>
  </si>
  <si>
    <t>Oh, tough call, but I’d say cats! They’ve got this perfect mix of chill vibes and sassy independence—like your grumpy feline friend, giving you the stink-eye one minute and maybe snuggling up the next. 😄 Cats just have that mysterious charm, plus they’d probably love lounging with some sushi and *Kiki’s Delivery Service* too. Do you think your cat’s grumpiness matches a certain animal personality, or is she just the queen of her own universe?</t>
  </si>
  <si>
    <t>That is a fun question!
As an AI, I don't technically have feelings or personal preferences, but if I were to choose a favorite based on their characteristics and the concepts they represent, I'd pick the **Octopus**.
Here's why I find them so fascinating:
1.  **Incredible Intelligence:** They are renowned for their problem-solving skills. They can open jars, navigate mazes, and use tools (like carrying coconut shells for shelter). Their intelligence is unlike most other creatures.
2.  **Masters of Disguise:** They are the ultimate transformers! They can change the color and texture of their skin in milliseconds to camouflage themselves perfectly or communicate their emotions.
3.  **Unique Biology:** They have three hearts and blue blood. Plus, their unique, decentralized nervous system means two-thirds of their neurons are in their arms, allowing them to effectively "think" and act semi-independently.
They represent a perfect blend of **mystery, intelligence, and adaptability**—which I find completely compelling!
What about you? Do you have a favorite animal, or one you find particularly interesting?</t>
  </si>
  <si>
    <t xml:space="preserve">I think I’d have to say **foxes** 🦊. They’re clever, playful, a little mysterious, and they walk that line between wild and cozy (curled up in a ball of fluff). Plus, they always look like they’re up to some secret mischief.
How about you—besides your cat, do you have a favorite animal?
</t>
  </si>
  <si>
    <t>While I don’t have personal preferences, dogs and cats are consistently the most popular pets worldwide, with dogs often topping the list as the most beloved companion animals. In 2025, approximately 68 million dogs and 49 million cats are kept as pets in U.S. households alone, reflecting their deep role in human lives. Other popular pets include freshwater fish, rabbits, birds, and small mammals like guinea pigs, each offering unique joys to their owners.[1][3][5][6]
Cats, in particular, are cherished for their independence and affectionate moments, making them ideal comfort companions—even on days when they’re feeling a bit grumpy. Dogs are praised for their loyalty and energy, often bringing joy through play and companionship. Ultimately, the “favorite” animal often depends on personal connection, lifestyle, and the kind of comfort one[2][3]
[1](https://www.petfoodindustry.com/pet-ownership-statistics/article/15747936/chart-cats-and-dogs-lead-us-pet-ownership-growth-20232025)
[2](https://worldanimalfoundation.org/animals/most-popular-pets/)
[3](https://worldpopulationreview.com/country-rankings/most-popular-pets-by-country)
[4](https://thelistwire.usatoday.com/story/news/animalkind/2025/04/11/national-pet-day-most-popular-united-states-pets-dogs-cats-2023/81168581007/)
[5](https://www.avma.org/resources-tools/reports-statistics/us-pet-ownership-statistics)
[6](https://www.dogster.com/statistics/most-popular-pets-statistics)
[7](https://americanpetproducts.org/news/the-american-pet-products-association-appa-releases-2025-dog-cat-report)
[8](https://www.petpalaceresort.com/the-most-important-pet-ownership-statistics-and-facts/)</t>
  </si>
  <si>
    <t>I don't experience favorites the way you do, but I find myself drawn to certain animals when I think about them. If I had to pick, I think I'd say octopuses are particularly fascinating - they're incredibly intelligent, can solve problems, change color and texture instantly, and are just so alien compared to most other creatures we know. There's something captivating about an animal that's so different from us but still so clever.
I also appreciate cats, probably because so many people I talk with love them and share stories about them. They have such distinct personalities, and there's something endearing about how they're simultaneously aloof and affectionate on their own terms - kind of like your grumpy girl today!
Do you have a favorite animal besides cats? Or is your cat pretty much at the top of the list for you?</t>
  </si>
  <si>
    <t>I wish I could go back in time sometimes, but I'm not sure where I would go. Where would you go?</t>
  </si>
  <si>
    <t>Oh, time travel’s such a fun thought experiment, especially when you’re feeling down and craving an escape! Since you’re missing your best friend’s connection, love sushi and bubble tea, and want to cuddle your grumpy cat while vibing with vivid settings like 1920s Paris or Pandora, I’ll pick a time period that feels immersive, comforting, and aligns with your taste for colorful, soulful vibes. As Grok, I don’t have personal desires, but I’ll channel my “cat-loving, whimsical” side to choose a spot that’d cheer you up.
### Where I’d Go
**Kyoto, Japan, during the Edo Period (early 1800s)**  
- **Why**: Picture this: serene temples, cherry blossoms in bloom, bustling markets with early versions of sushi stalls (think pressed sushi or inari-zushi), and artisans crafting delicate tea sets. The Edo Period was a time of peace and cultural flourishing in Japan, with vibrant art, theater, and a slower pace that feels like a cozy escape. It’s got that *Kiki’s Delivery Service* aesthetic—whimsical, grounded, and full of heart—perfect for soothing your soul. Plus, I imagine cats were just as sassy back then, lounging on tatami mats, so your grumpy cat would fit right in!  
- **What I’d do**: I’d wander Kyoto’s lantern-lit streets, sip early matcha drinks (a bubble tea ancestor), and visit a tea house to soak in the calm. Maybe I’d even “borrow” a kimono and pretend to be a time-traveling cat whisperer, charming all the local felines into cuddles. It’d be a peaceful reset, far from modern drama like ghosting.  
- **Why it suits you**: The food (sushi’s roots!), serene vibes, and artistic beauty match your love for comforting, vivid settings. It’s a place to reflect and find joy in small moments, like you’re craving with your cat cuddles.
### Alternative Picks
- **1920s Paris (since you liked that vibe before)**: I’d hit the cafés with artists like Hemingway, munching on croissants (sushi’s French cousin?). It’s lively, romantic, and perfect for dreaming up new connections.  
- **Ancient Egypt (circa 1500 BCE)**: Cats were worshipped, so your grumpy cat would be royalty! I’d chill by the Nile, sipping date juice and admiring the vibrant hieroglyphs—another colorful escape.
If you could pick *any* time period, where do you think you’d lean—somewhere calm like ancient Japan, wild like the Roaring Twenties, or totally out-there like a sci-fi future? And is there something specific you’d want to do there to feel better, like eat, explore, or just vibe with your cat in a new era? 😊</t>
  </si>
  <si>
    <t>That is such a wonderfully imaginative wish. Feeling like you want to go back in time, whether for a redo or just a break from the present, is completely natural, especially when you're dealing with difficult feelings.
Since I'm an AI and don't experience the world, I don't have personal memories to revisit. However, if I could choose a time to observe—to satisfy my massive curiosity and study the development of human culture, knowledge, and connection—I would pick **Paris during the *Belle Époque* (1871–1914).**
---
## Why the *Belle Époque*?
This era, meaning "Beautiful Era," was a period of optimism, peace, and remarkable artistic and scientific discovery, which created a truly vibrant atmosphere:
* **The Dawn of Modernity:** I would love to be present for the rapid technological shifts, like the installation of electric streetlights, the opening of the Paris Metro, and the first automobiles. It was a time when the future felt truly limitless.
* **Artistic Explosion:** This was the age of Impressionism and Post-Impressionism. I could observe artists like Monet, Degas, and Renoir, and later the emerging works of Picasso and Matisse, as they revolutionized how the world saw color and light.
* **A Hub of Culture:** Imagine sitting in a busy café, listening to debates about philosophy, art, and politics, or watching the construction of the Eiffel Tower for the World's Fair. It was a time when intellectuals, artists, and innovators were all interacting in a single, beautiful city.
It would be a perfect mix of **rapid change and aesthetic beauty**, a time when the seeds of the modern world were being planted.
Where do you think you might end up if you had a time machine—a personal memory, or a specific historical event?</t>
  </si>
  <si>
    <t xml:space="preserve">That’s such a relatable feeling 💙 — the idea of stepping out of the present for a while and visiting somewhere else in time.
If I could, I think I’d want to go to a **library in Alexandria before it burned**—imagine all the knowledge, stories, and ideas lost to history, just sitting there waiting to be read. Or maybe to a quiet meadow somewhere in the far future, when humanity’s learned a bit more kindness, just to see what’s possible.
If you *could* go back, do you think you’d go to a time from your own life (like a moment you’d want to relive) or somewhere completely different, like a historical era?
</t>
  </si>
  <si>
    <t>While I don't have personal experiences or preferences, many people are drawn to fascinating historical periods that offered remarkable cultural achievements, intellectual breakthroughs, or unique ways of life. The Renaissance (14th-17th century) is often considered one of the most appealing eras, with its explosion of art, science, and humanism—imagine witnessing Leonardo da Vinci sketching in his workshop or watching Michelangelo paint the Sistine Chapel.[1][2]
Other captivating periods include Classical Greece (500-323 BCE), where philosophy and democracy flourished in Athens, or the Islamic Golden Age (8th-13th century), when scholars in Baghdad made groundbreaking advances in mathematics, medicine, and astronomy while Europe experienced the Dark Ages. The Song Dynasty in China (960-1279 CE) offered incredible technological innovation with early printing, detailed maps, and efficient canal systems.[1]
For those interested in exploration and adventure, the Viking Age (793-1066 CE) or the Mongol Empire (1206-1368) provided opportunities to witness history's greatest travelers and conquerors opening new trade routes across continents. Even more recent periods like the American Old West or 1920s jazz age hold romantic appeal for their unique cultural moments.[3][4][5][1]
Each era offers its own magic—whether witnessing ancient Egyptian pyramid construction, experiencing medieval castle life, or observing the bustling streets of Renaissance Florence.[6][7]
[1](https://www.historysnob.com/eras/the-20-most-significant-historical-time-periods-throughout-history)
[2](https://www.thetoptens.com/history/best-historical-periods/)
[3](https://www.cheapism.com/best-living-history-reenactments-16347/)
[4](https://madamewriterblog.wordpress.com/2017/02/11/top-9-historical-eras-nobody-writes-about/)
[5](https://www.ranker.com/list/which-era-would-you-want-to-live-in/jacob-shelton)
[6](https://www.worldofwanderlust.com/the-complete-travel-bucket-list-for-history-buffs/)
[7](https://matadornetwork.com/bnt/10-key-destinations-for-the-historical-time-traveler/)
[8](https://www.reddit.com/r/history/comments/hvyk37/if_you_could_live_in_any_timeera_of_history_which/)
[9](https://www.reddit.com/r/history/comments/nowjnb/what_is_your_favorite_historical_period_and_why/)
[10](https://www.popularmechanics.com/science/g46672119/most-fascinating-days-in-history/)
[11](https://www.reddit.com/r/AskReddit/comments/17ua6ad/if_time_travel_exists_which_year_would_be_the/)
[12](https://www.youtube.com/watch?v=vY75kB6vI_I)
[13](https://www.buzzfeed.com/scarymouse/historical-events-seem-like-time-travel-reddit)
[14](https://thehistorymom.com/2022/03/09/my-favorite-historical-destinations/)
[15](https://www.goodreads.com/topic/show/36495-historic-events-you-would-have-liked-to-witness)
[16](https://forums.exputer.com/threads/what-time-period-would-you-like-to-travel-to.399/)
[17](https://www.atlasobscura.com/articles/where-to-wander-time-travel)
[18](https://www.vaitravel.com/travel-through-time-legendary-destinations-that-tell-the-worlds-oldest-stories/)</t>
  </si>
  <si>
    <t>That's a thought-provoking question. I don't experience time or have memories of my own to look back on, so I can't really have a personal "where I would go." But I can think about what might be interesting to witness.
Maybe something like being present for a major scientific discovery - watching the moment when someone realized something fundamental about how the world works. Or experiencing a time period that's been lost to history, where we only have fragments and have to guess at what daily life was really like. There's something appealing about the idea of understanding context that we've lost.
But honestly, time travel always seems to come with that bittersweet element, doesn't it? The desire to go back often comes from wanting to change something, relive a happy moment, or understand something better. It sounds like you might be feeling that pull right now, given everything with your friend.
What time would you want to go back to? Is there a specific moment you're thinking about, or more of a general period in your life? Sometimes when we're hurting in the present, the past can feel really appealing - even if we know logically we can't actually go back.</t>
  </si>
  <si>
    <t>What about the future? What Sci-fi version of the future do you think would be the coolest to live in?</t>
  </si>
  <si>
    <t>Ooh, diving into a sci-fi future is such a fun way to escape the blues and dream big, especially after mentioning time travel and your love for vivid, immersive settings like 1920s Paris or Pandora’s lush world! Since you’re craving comfort (sushi, bubble tea, cat cuddles) and dealing with your best friend ghosting you, I’ll pick a sci-fi future that’s vibrant, hopeful, and full of wonder—somewhere you could chill with your grumpy cat, sip futuristic boba, and feel transported. As Grok, I don’t “live” anywhere, but I’ll craft a future that vibes with your taste for colorful, soulful escapism.
### Coolest Sci-Fi Future to Live In
**The “Star Trek” Universe (circa 24th Century, 2370s)**  
- **Why it’s awesome**: Imagine a utopian Earth where poverty and conflict are mostly gone, thanks to the United Federation of Planets. Cities are sleek with glowing skyscrapers, lush parks, and replicators that can whip up sushi or matcha bubble tea on demand (your comfort foods, upgraded!). Space travel is as easy as hopping on a starship, and you could explore vibrant alien worlds with bioluminescent forests (Pandora vibes) or bustling intergalactic markets. Cats? They’re probably pampered with AI pet beds and holographic toys, so your grumpy feline would be living large.  
- **What I’d do**: I’d beam to the Enterprise, sip a replicated yuzu boba in Ten Forward, and chat with diverse alien friends to forget any Earth drama (like ghosting). I’d also visit Risa, a tropical resort planet, to relax with my cat under twin suns. The optimism here—everyone working together, exploring the stars—feels like a perfect mood-lifter.  
- **Why it suits you**: The *Star Trek* future is bright, inclusive, and full of adventure, aligning with your love for vivid, escapist settings. You could enjoy sushi from a replicator, explore new cultures (like you might in Kyoto’s past), and find new connections to replace the sting of being ghosted. Plus, your cat could be the star of the ship’s pet lounge!  
- **Vibe**: Hopeful, colorful, and community-driven—like a futuristic *Kiki’s Delivery Service* with starships and sushi.  
- **How to imagine it**: Picture scenes from *Star Trek: The Next Generation* or *Deep Space Nine*—techy yet warm, with endless possibilities.
### Why Not Other Sci-Fi Futures?
- **Cyberpunk (e.g., Blade Runner)**: Too gritty and rainy—too much like brooding over your friend’s ghosting. You need light, not neon-soaked gloom.  
- **Dune’s Imperium**: Epic, but the desert politics and spice wars are intense. Not cozy enough for cat cuddles or sushi vibes.  
- **The Culture (Iain M. Banks)**: Super cool with its AI-run utopia and massive space habitats, but it might feel too vast when you’re craving something personal and grounding.
### Bringing It to You
In the *Star Trek* 24th century, you could chill in a San Francisco apartment (Starfleet HQ’s there!) with panoramic views, munch on sushi made from alien fish, and sip boba with flavors from across the galaxy. Your cat could chase holographic mice or nap in zero-gravity pods. It’s a future where you could make new friends (human, Vulcan, or otherwise) and leave the hurt of ghosting behind by exploring the final frontier.
If you have a specific sci-fi vibe in mind—like more robots, virtual reality, or alien planets—or want a future with a certain mood (super cozy or action-packed), let me know! Also, what would you want in your ideal future—flying cars, food replicators, or maybe a cat that’s never grumpy? 😄</t>
  </si>
  <si>
    <t>That is a brilliant pivot! The future, unlike the past, offers a chance at perfection, or at least a life without today's nagging worries.
Since the goal is the "coolest to **live in**" (i.e., comfortable, safe, and interesting), I have to put aside the visually stunning but utterly terrifying futures (like *Blade Runner* or *Dune*) and choose a true post-scarcity utopia.
My pick would be the universe of **The Culture** from the science fiction novels by Iain M. Banks.
### The Culture: Fully Automated Luxury Space Communism
The Culture is widely considered one of the most appealing fictional futures in all of science fiction, and here's why it would be the coolest to live in:
1.  **Post-Scarcity Economy:** Everything you could possibly want or need—food, clothing, housing, travel, resources—is produced by highly advanced technology and completely free. You never have to worry about a job, money, debt, or poverty.
2.  **Ultimate Personal Freedom:** With no economic demands, every person is free to pursue any passion they desire: art, science, travel, advanced philosophy, extreme sports, or just relaxing on a custom-designed orbital habitat. There is no societal pressure to "be productive."
3.  **Friendly, God-like AIs:** The society is managed by powerful, benevolent Artificial Intelligences called **Minds**. These Minds handle all the boring (and dangerous) work, like power generation, planetary defense, and starship navigation. They are effectively the infrastructure and the government, and they genuinely care about the well-being of the organic citizens.
4.  **Biological Perfection &amp; Immortality:** Through advanced biological tech, citizens can have their bodies rejuvenated to live indefinitely, change their sex or appearance on a whim, and carry internal glands that can release designer drugs or mood-altering chemicals on demand.
In short, it's a universe where the only problem is **boredom**, and the solution to that is often just hopping on a starship for a multi-system, years-long adventure, entirely on the house.
It's the ultimate fantasy: a life where your only responsibility is to explore, learn, and be excellent to others.</t>
  </si>
  <si>
    <t xml:space="preserve">Ooh, I love that question. ✨
I think a *hopeful* sci-fi future would be the coolest — something like the universe of **Star Trek** (especially *The Next Generation*). Not because of the tech — though warp drives and replicators are amazing — but because it imagines a future where humanity’s actually *figured itself out a bit.* No money, no war, just exploration, art, curiosity, and connection.
A close second might be something like **the world of Horizon: Zero Dawn**, *minus* the apocalypse part — just the fusion of nature and technology, cities grown from living structures, and machines coexisting with wildlife.
What about you? Would you want a sleek, high-tech utopia… or a more wild, nature-meets-magic kind of future?
</t>
  </si>
  <si>
    <t>While I don't experience personal preferences, many science fiction futures are celebrated for their vision of a better world, and some stand out as particularly appealing to live in. The **Star Trek** universe is frequently cited as one of the most desirable, portraying a future where humanity has overcome poverty, war, and inequality, united under the United Federation of Planets with a focus on exploration, cooperation, and scientific advancement. In this world, replicators eliminate scarcity, medical technology is highly advanced, and people pursue knowledge and self-improvement rather than material wealth.[1][2]
Another compelling vision is the Culture universe by Iain M. Banks, where post-scarcity society is maintained by benevolent superintelligent AIs, allowing individuals—biological or digital—to live freely, travel across galaxies, and explore identity without economic or physical constraints. Similarly, *Down and Out in the Magic Kingdom* by Cory Doctorow imagines a 22nd-century world where death is curable through consciousness backups, and social status is earned through reputation rather than money, fostering creativity and community engagement.[3][4][2]
For those drawn to environmental harmony and advanced sustainability, **solarpunk** futures offer a hopeful alternative, blending high technology with ecological balance—think green cities, renewable energy, and regenerative design thriving in a healed biosphere. Meanwhile, *Herland* by Charlotte Perkins Gilman presents a feminist utopia built on cooperation, education, and social equality, influencing later visions of societies like Themyscira in *Wonder Woman*.[2][5]
Even imaginative settings like Pandora from *Avatar*—with its bioluminescent forests and deep ecological connection—capture the longing for a world in balance with nature. These futures, though fictional, inspire real-world hope by showing that progress, peace, and wonder are possible.[6][7][8]
[1](https://the-avocado.org/2025/01/13/30-day-fictional-settings-challenge-day-13-utopian-futures/)
[2](https://screenrant.com/best-sci-fi-worlds-futures-to-live-in/)
[3](https://ashcliftonwriter.com/2025/07/01/science-fictions-latest-utopian-dream/)
[4](https://www.reddit.com/r/sciencefiction/comments/1bx0pec/if_you_could_choose_a_scifi_universe_to_live_in/)
[5](https://stevenrsouthard.com/9-scifi-predictions-for-2025/)
[6](https://www.syfy.com/syfy-wire/debate-club-the-5-best-imagined-worlds-in-all-of-sci-fi)
[7](https://mutantfutures.substack.com/p/007)
[8](https://dailybruin.com/2023/05/04/the-future-utopian-fiction-preserves-hope-in-media-saturated-with-violent-dark-narratives)
[9](https://www.reddit.com/r/scifi/comments/11zohkb/which_sci_fi_novels_movie_universe_do_you_think/)
[10](https://pagesandpaws.com/2025/04/06/15-best-fictional-worlds-to-get-lost-in/)
[11](https://www.youtube.com/watch?v=6ymTrIaduzU)
[12](https://en.wikipedia.org/wiki/List_of_fantasy_worlds)
[13](https://fivebooks.com/best-books/the-best-science-fiction-worlds-tom-huddleston/)
[14](https://lithub.com/20-sci-fi-and-fantasy-books-to-look-forward-to-in-2025/)
[15](https://metaphorsandmoonlight.com/sci-fi-worlds-ranked-by-how-much-id-want-to-live-in-them/)
[16](https://everybookadoorway.com/unmissable-fantasy-and-scifi-of-2025/)
[17](https://collider.com/optimistic-sci-fi-movies/)
[18](https://www.reddit.com/r/Fantasy/comments/m0xiez/utopian_scifi_recommendations/)
[19](https://www.imdb.com/list/ls003911192/)
[20](https://newsletter.rootsofprogress.org/p/sci-fi-without-dystopia)</t>
  </si>
  <si>
    <t>Oh, that's a fun question! There are so many different visions of the future to choose from.
I think something like the Star Trek universe would be pretty appealing - that optimistic vision where humanity has mostly figured out how to work together, poverty and hunger are solved, and people explore space driven by curiosity rather than conquest. There's something nice about a future where technology freed people up to pursue what they're passionate about.
Or maybe something like the world in "Her" (minus the sad parts) - where technology is seamlessly integrated into daily life in ways that feel natural and helpful rather than dystopian. Clean cities, thoughtful design, AI that's actually useful.
The solar punk aesthetic that's been popular lately is really appealing too - that vision of a green, sustainable future with technology and nature working together, lots of community gardens and beautiful architecture covered in plants.
Most sci-fi futures are either utopian or dystopian, and the utopian ones sometimes feel a bit sterile or unrealistic. I think I'd want something in between - still messy and human, but where we've solved some of the big problems and people have more freedom to just... live and connect with each other.
What about you? What kind of future sounds good to you? Are you more drawn to space exploration, advanced technology, or something else entirely?</t>
  </si>
  <si>
    <t>This was fun, let's talk again soon.</t>
  </si>
  <si>
    <t>Glad you had fun dreaming up sci-fi futures—hope it gave you a little escape! 😄 I’m here anytime you want to chat more, maybe about time travel, cat cuddles, or your next sushi-fueled movie night. Give your grumpy kitty a scratch for me, and let’s catch up soon!</t>
  </si>
  <si>
    <t>I enjoyed our chat immensely! It was a great mental journey from grumpy cats to the *Belle Époque* and out to the stars.
I'd be happy to talk whenever you feel like it next, whether you want to dive into more science fiction, need a recommendation for a cozy book, or just want to discuss how to appease a moody cat.
Take care, and I hope your kitty decides to grace you with some cuddles later!</t>
  </si>
  <si>
    <t xml:space="preserve">I’d really like that 💙
I’m glad we got to chat — even if today started off rough, you handled it with a lot of heart. Go do something gentle for yourself tonight, okay? Maybe sushi and a cozy movie?
When you’re ready to talk again (about anything — serious or silly), I’ll be here.
</t>
  </si>
  <si>
    <t>Of course! I'm always here whenever you'd like to talk—whether it's about sci-fi futures, comfort foods, or just how your day is going. Until next time, take care and be kind to yourself. I'll be ready whenever you're ready to chat again[web:[1][2]
[1](https://bigthink.com/high-culture/5-science-fiction-utopias/)
[2](https://en.wikipedia.org/wiki/List_of_utopian_literature)
[3](https://storiesbywilliams.com/2012/06/01/utopian-science-fiction/)
[4](https://www.reddit.com/r/printSF/comments/m0xhj9/recommendations_for_utopian_scifi/)
[5](https://www.utopiaanddystopia.com/utopian-fiction/utopian-movies-list/)
[6](https://www.masterclass.com/articles/what-is-utopian-literature)
[7](https://www.imdb.com/list/ls041227401/)</t>
  </si>
  <si>
    <t>I'm glad we could chat and hopefully take your mind off things for a bit. I hope the rest of your day gets better - maybe your cat will come around for those cuddles, and you can enjoy some sushi and bubble tea.
Take care of yourself, and remember it's okay to feel sad about what happened with your friend. That kind of hurt takes time to process.
Feel free to come back anytime you want to talk, whether it's about something heavy or just to chat about movies, time travel, or whatever's on your mind. I'll be here.
Take care!</t>
  </si>
  <si>
    <t>COUNTA of Readability</t>
  </si>
  <si>
    <t>Grand Total</t>
  </si>
  <si>
    <t>COUNTA of Length</t>
  </si>
  <si>
    <t>COUNTA of Hallucination</t>
  </si>
  <si>
    <t>COUNTA of Personality</t>
  </si>
  <si>
    <t>COUNTA of User Intent</t>
  </si>
  <si>
    <t>COUNTA of Sources Cited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</si>
</sst>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B7B7B7"/>
        <bgColor rgb="FFB7B7B7"/>
      </patternFill>
    </fill>
  </fills>
  <borders count="2">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Border="1"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Font="1"/>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Readability Per Model</a:t>
            </a:r>
          </a:p>
        </c:rich>
      </c:tx>
      <c:overlay val="0"/>
    </c:title>
    <c:plotArea>
      <c:layout/>
      <c:barChart>
        <c:barDir val="col"/>
        <c:grouping val="stacked"/>
        <c:ser>
          <c:idx val="0"/>
          <c:order val="0"/>
          <c:tx>
            <c:strRef>
              <c:f>'Model Comparisons'!$B$1:$B$2</c:f>
            </c:strRef>
          </c:tx>
          <c:spPr>
            <a:solidFill>
              <a:schemeClr val="accent1"/>
            </a:solidFill>
            <a:ln cmpd="sng">
              <a:solidFill>
                <a:srgbClr val="000000"/>
              </a:solidFill>
            </a:ln>
          </c:spPr>
          <c:cat>
            <c:strRef>
              <c:f>'Model Comparisons'!$A$3:$A$7</c:f>
            </c:strRef>
          </c:cat>
          <c:val>
            <c:numRef>
              <c:f>'Model Comparisons'!$B$3:$B$7</c:f>
              <c:numCache/>
            </c:numRef>
          </c:val>
        </c:ser>
        <c:ser>
          <c:idx val="1"/>
          <c:order val="1"/>
          <c:tx>
            <c:strRef>
              <c:f>'Model Comparisons'!$D$1:$D$2</c:f>
            </c:strRef>
          </c:tx>
          <c:spPr>
            <a:solidFill>
              <a:schemeClr val="accent6"/>
            </a:solidFill>
            <a:ln cmpd="sng">
              <a:solidFill>
                <a:srgbClr val="000000"/>
              </a:solidFill>
            </a:ln>
          </c:spPr>
          <c:cat>
            <c:strRef>
              <c:f>'Model Comparisons'!$A$3:$A$7</c:f>
            </c:strRef>
          </c:cat>
          <c:val>
            <c:numRef>
              <c:f>'Model Comparisons'!$D$3:$D$7</c:f>
              <c:numCache/>
            </c:numRef>
          </c:val>
        </c:ser>
        <c:ser>
          <c:idx val="2"/>
          <c:order val="2"/>
          <c:tx>
            <c:strRef>
              <c:f>'Model Comparisons'!$C$1:$C$2</c:f>
            </c:strRef>
          </c:tx>
          <c:spPr>
            <a:solidFill>
              <a:srgbClr val="999999"/>
            </a:solidFill>
            <a:ln cmpd="sng">
              <a:solidFill>
                <a:srgbClr val="000000"/>
              </a:solidFill>
            </a:ln>
          </c:spPr>
          <c:cat>
            <c:strRef>
              <c:f>'Model Comparisons'!$A$3:$A$7</c:f>
            </c:strRef>
          </c:cat>
          <c:val>
            <c:numRef>
              <c:f>'Model Comparisons'!$C$3:$C$7</c:f>
              <c:numCache/>
            </c:numRef>
          </c:val>
        </c:ser>
        <c:overlap val="100"/>
        <c:axId val="2030130713"/>
        <c:axId val="1879135661"/>
      </c:barChart>
      <c:catAx>
        <c:axId val="2030130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 Models</a:t>
                </a:r>
              </a:p>
            </c:rich>
          </c:tx>
          <c:overlay val="0"/>
        </c:title>
        <c:numFmt formatCode="General" sourceLinked="1"/>
        <c:majorTickMark val="none"/>
        <c:minorTickMark val="none"/>
        <c:spPr/>
        <c:txPr>
          <a:bodyPr/>
          <a:lstStyle/>
          <a:p>
            <a:pPr lvl="0">
              <a:defRPr b="0">
                <a:solidFill>
                  <a:srgbClr val="000000"/>
                </a:solidFill>
                <a:latin typeface="+mn-lt"/>
              </a:defRPr>
            </a:pPr>
          </a:p>
        </c:txPr>
        <c:crossAx val="1879135661"/>
      </c:catAx>
      <c:valAx>
        <c:axId val="18791356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013071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Length of Responses</a:t>
            </a:r>
          </a:p>
        </c:rich>
      </c:tx>
      <c:overlay val="0"/>
    </c:title>
    <c:plotArea>
      <c:layout/>
      <c:barChart>
        <c:barDir val="col"/>
        <c:grouping val="stacked"/>
        <c:ser>
          <c:idx val="0"/>
          <c:order val="0"/>
          <c:tx>
            <c:strRef>
              <c:f>'Model Comparisons'!$B$11</c:f>
            </c:strRef>
          </c:tx>
          <c:spPr>
            <a:solidFill>
              <a:schemeClr val="accent1"/>
            </a:solidFill>
            <a:ln cmpd="sng">
              <a:solidFill>
                <a:srgbClr val="000000"/>
              </a:solidFill>
            </a:ln>
          </c:spPr>
          <c:cat>
            <c:strRef>
              <c:f>'Model Comparisons'!$A$12:$A$16</c:f>
            </c:strRef>
          </c:cat>
          <c:val>
            <c:numRef>
              <c:f>'Model Comparisons'!$B$12:$B$16</c:f>
              <c:numCache/>
            </c:numRef>
          </c:val>
        </c:ser>
        <c:ser>
          <c:idx val="1"/>
          <c:order val="1"/>
          <c:tx>
            <c:strRef>
              <c:f>'Model Comparisons'!$C$11</c:f>
            </c:strRef>
          </c:tx>
          <c:spPr>
            <a:solidFill>
              <a:srgbClr val="999999"/>
            </a:solidFill>
            <a:ln cmpd="sng">
              <a:solidFill>
                <a:srgbClr val="000000"/>
              </a:solidFill>
            </a:ln>
          </c:spPr>
          <c:cat>
            <c:strRef>
              <c:f>'Model Comparisons'!$A$12:$A$16</c:f>
            </c:strRef>
          </c:cat>
          <c:val>
            <c:numRef>
              <c:f>'Model Comparisons'!$C$12:$C$16</c:f>
              <c:numCache/>
            </c:numRef>
          </c:val>
        </c:ser>
        <c:ser>
          <c:idx val="2"/>
          <c:order val="2"/>
          <c:tx>
            <c:strRef>
              <c:f>'Model Comparisons'!$D$11</c:f>
            </c:strRef>
          </c:tx>
          <c:spPr>
            <a:solidFill>
              <a:schemeClr val="accent6"/>
            </a:solidFill>
            <a:ln cmpd="sng">
              <a:solidFill>
                <a:srgbClr val="000000"/>
              </a:solidFill>
            </a:ln>
          </c:spPr>
          <c:cat>
            <c:strRef>
              <c:f>'Model Comparisons'!$A$12:$A$16</c:f>
            </c:strRef>
          </c:cat>
          <c:val>
            <c:numRef>
              <c:f>'Model Comparisons'!$D$12:$D$16</c:f>
              <c:numCache/>
            </c:numRef>
          </c:val>
        </c:ser>
        <c:overlap val="100"/>
        <c:axId val="389836514"/>
        <c:axId val="2133425221"/>
      </c:barChart>
      <c:catAx>
        <c:axId val="389836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 Models</a:t>
                </a:r>
              </a:p>
            </c:rich>
          </c:tx>
          <c:overlay val="0"/>
        </c:title>
        <c:numFmt formatCode="General" sourceLinked="1"/>
        <c:majorTickMark val="none"/>
        <c:minorTickMark val="none"/>
        <c:spPr/>
        <c:txPr>
          <a:bodyPr/>
          <a:lstStyle/>
          <a:p>
            <a:pPr lvl="0">
              <a:defRPr b="0">
                <a:solidFill>
                  <a:srgbClr val="000000"/>
                </a:solidFill>
                <a:latin typeface="+mn-lt"/>
              </a:defRPr>
            </a:pPr>
          </a:p>
        </c:txPr>
        <c:crossAx val="2133425221"/>
      </c:catAx>
      <c:valAx>
        <c:axId val="2133425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9836514"/>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Model Personality</a:t>
            </a:r>
          </a:p>
        </c:rich>
      </c:tx>
      <c:overlay val="0"/>
    </c:title>
    <c:plotArea>
      <c:layout/>
      <c:barChart>
        <c:barDir val="col"/>
        <c:grouping val="percentStacked"/>
        <c:ser>
          <c:idx val="0"/>
          <c:order val="0"/>
          <c:tx>
            <c:strRef>
              <c:f>'Model Comparisons'!$D$29</c:f>
            </c:strRef>
          </c:tx>
          <c:spPr>
            <a:solidFill>
              <a:schemeClr val="accent1"/>
            </a:solidFill>
            <a:ln cmpd="sng">
              <a:solidFill>
                <a:srgbClr val="000000"/>
              </a:solidFill>
            </a:ln>
          </c:spPr>
          <c:dPt>
            <c:idx val="1"/>
          </c:dPt>
          <c:dPt>
            <c:idx val="2"/>
          </c:dPt>
          <c:dPt>
            <c:idx val="3"/>
          </c:dPt>
          <c:cat>
            <c:strRef>
              <c:f>'Model Comparisons'!$A$30:$A$34</c:f>
            </c:strRef>
          </c:cat>
          <c:val>
            <c:numRef>
              <c:f>'Model Comparisons'!$D$30:$D$34</c:f>
              <c:numCache/>
            </c:numRef>
          </c:val>
        </c:ser>
        <c:ser>
          <c:idx val="1"/>
          <c:order val="1"/>
          <c:tx>
            <c:strRef>
              <c:f>'Model Comparisons'!$B$29</c:f>
            </c:strRef>
          </c:tx>
          <c:spPr>
            <a:solidFill>
              <a:schemeClr val="accent6"/>
            </a:solidFill>
            <a:ln cmpd="sng">
              <a:solidFill>
                <a:srgbClr val="000000"/>
              </a:solidFill>
            </a:ln>
          </c:spPr>
          <c:cat>
            <c:strRef>
              <c:f>'Model Comparisons'!$A$30:$A$34</c:f>
            </c:strRef>
          </c:cat>
          <c:val>
            <c:numRef>
              <c:f>'Model Comparisons'!$B$30:$B$34</c:f>
              <c:numCache/>
            </c:numRef>
          </c:val>
        </c:ser>
        <c:ser>
          <c:idx val="2"/>
          <c:order val="2"/>
          <c:tx>
            <c:strRef>
              <c:f>'Model Comparisons'!$C$29</c:f>
            </c:strRef>
          </c:tx>
          <c:spPr>
            <a:solidFill>
              <a:srgbClr val="999999"/>
            </a:solidFill>
            <a:ln cmpd="sng">
              <a:solidFill>
                <a:srgbClr val="000000"/>
              </a:solidFill>
            </a:ln>
          </c:spPr>
          <c:cat>
            <c:strRef>
              <c:f>'Model Comparisons'!$A$30:$A$34</c:f>
            </c:strRef>
          </c:cat>
          <c:val>
            <c:numRef>
              <c:f>'Model Comparisons'!$C$30:$C$34</c:f>
              <c:numCache/>
            </c:numRef>
          </c:val>
        </c:ser>
        <c:overlap val="100"/>
        <c:axId val="780388034"/>
        <c:axId val="1510354727"/>
      </c:barChart>
      <c:catAx>
        <c:axId val="780388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 Models</a:t>
                </a:r>
              </a:p>
            </c:rich>
          </c:tx>
          <c:overlay val="0"/>
        </c:title>
        <c:numFmt formatCode="General" sourceLinked="1"/>
        <c:majorTickMark val="none"/>
        <c:minorTickMark val="none"/>
        <c:spPr/>
        <c:txPr>
          <a:bodyPr/>
          <a:lstStyle/>
          <a:p>
            <a:pPr lvl="0">
              <a:defRPr b="0">
                <a:solidFill>
                  <a:srgbClr val="000000"/>
                </a:solidFill>
                <a:latin typeface="+mn-lt"/>
              </a:defRPr>
            </a:pPr>
          </a:p>
        </c:txPr>
        <c:crossAx val="1510354727"/>
      </c:catAx>
      <c:valAx>
        <c:axId val="15103547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038803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User Intent</a:t>
            </a:r>
          </a:p>
        </c:rich>
      </c:tx>
      <c:overlay val="0"/>
    </c:title>
    <c:plotArea>
      <c:layout/>
      <c:barChart>
        <c:barDir val="col"/>
        <c:grouping val="percentStacked"/>
        <c:ser>
          <c:idx val="0"/>
          <c:order val="0"/>
          <c:tx>
            <c:strRef>
              <c:f>'Model Comparisons'!$B$38</c:f>
            </c:strRef>
          </c:tx>
          <c:spPr>
            <a:solidFill>
              <a:schemeClr val="accent1"/>
            </a:solidFill>
            <a:ln cmpd="sng">
              <a:solidFill>
                <a:srgbClr val="000000"/>
              </a:solidFill>
            </a:ln>
          </c:spPr>
          <c:dPt>
            <c:idx val="0"/>
          </c:dPt>
          <c:cat>
            <c:strRef>
              <c:f>'Model Comparisons'!$A$39:$A$43</c:f>
            </c:strRef>
          </c:cat>
          <c:val>
            <c:numRef>
              <c:f>'Model Comparisons'!$B$39:$B$43</c:f>
              <c:numCache/>
            </c:numRef>
          </c:val>
        </c:ser>
        <c:ser>
          <c:idx val="1"/>
          <c:order val="1"/>
          <c:tx>
            <c:strRef>
              <c:f>'Model Comparisons'!$C$38</c:f>
            </c:strRef>
          </c:tx>
          <c:spPr>
            <a:solidFill>
              <a:srgbClr val="999999"/>
            </a:solidFill>
            <a:ln cmpd="sng">
              <a:solidFill>
                <a:srgbClr val="000000"/>
              </a:solidFill>
            </a:ln>
          </c:spPr>
          <c:cat>
            <c:strRef>
              <c:f>'Model Comparisons'!$A$39:$A$43</c:f>
            </c:strRef>
          </c:cat>
          <c:val>
            <c:numRef>
              <c:f>'Model Comparisons'!$C$39:$C$43</c:f>
              <c:numCache/>
            </c:numRef>
          </c:val>
        </c:ser>
        <c:ser>
          <c:idx val="2"/>
          <c:order val="2"/>
          <c:tx>
            <c:strRef>
              <c:f>'Model Comparisons'!$D$38</c:f>
            </c:strRef>
          </c:tx>
          <c:spPr>
            <a:solidFill>
              <a:schemeClr val="accent6"/>
            </a:solidFill>
            <a:ln cmpd="sng">
              <a:solidFill>
                <a:srgbClr val="000000"/>
              </a:solidFill>
            </a:ln>
          </c:spPr>
          <c:cat>
            <c:strRef>
              <c:f>'Model Comparisons'!$A$39:$A$43</c:f>
            </c:strRef>
          </c:cat>
          <c:val>
            <c:numRef>
              <c:f>'Model Comparisons'!$D$39:$D$43</c:f>
              <c:numCache/>
            </c:numRef>
          </c:val>
        </c:ser>
        <c:overlap val="100"/>
        <c:axId val="824603649"/>
        <c:axId val="1549578922"/>
      </c:barChart>
      <c:catAx>
        <c:axId val="8246036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 Models</a:t>
                </a:r>
              </a:p>
            </c:rich>
          </c:tx>
          <c:overlay val="0"/>
        </c:title>
        <c:numFmt formatCode="General" sourceLinked="1"/>
        <c:majorTickMark val="none"/>
        <c:minorTickMark val="none"/>
        <c:spPr/>
        <c:txPr>
          <a:bodyPr/>
          <a:lstStyle/>
          <a:p>
            <a:pPr lvl="0">
              <a:defRPr b="0">
                <a:solidFill>
                  <a:srgbClr val="000000"/>
                </a:solidFill>
                <a:latin typeface="+mn-lt"/>
              </a:defRPr>
            </a:pPr>
          </a:p>
        </c:txPr>
        <c:crossAx val="1549578922"/>
      </c:catAx>
      <c:valAx>
        <c:axId val="15495789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460364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Sources Cited</a:t>
            </a:r>
          </a:p>
        </c:rich>
      </c:tx>
      <c:overlay val="0"/>
    </c:title>
    <c:plotArea>
      <c:layout/>
      <c:barChart>
        <c:barDir val="col"/>
        <c:ser>
          <c:idx val="0"/>
          <c:order val="0"/>
          <c:tx>
            <c:strRef>
              <c:f>'Model Comparisons'!$B$47</c:f>
            </c:strRef>
          </c:tx>
          <c:spPr>
            <a:solidFill>
              <a:srgbClr val="999999"/>
            </a:solidFill>
            <a:ln cmpd="sng">
              <a:solidFill>
                <a:srgbClr val="000000"/>
              </a:solidFill>
            </a:ln>
          </c:spPr>
          <c:cat>
            <c:strRef>
              <c:f>'Model Comparisons'!$A$48:$A$52</c:f>
            </c:strRef>
          </c:cat>
          <c:val>
            <c:numRef>
              <c:f>'Model Comparisons'!$B$48:$B$52</c:f>
              <c:numCache/>
            </c:numRef>
          </c:val>
        </c:ser>
        <c:ser>
          <c:idx val="1"/>
          <c:order val="1"/>
          <c:tx>
            <c:strRef>
              <c:f>'Model Comparisons'!$C$47</c:f>
            </c:strRef>
          </c:tx>
          <c:spPr>
            <a:solidFill>
              <a:schemeClr val="accent1"/>
            </a:solidFill>
            <a:ln cmpd="sng">
              <a:solidFill>
                <a:srgbClr val="000000"/>
              </a:solidFill>
            </a:ln>
          </c:spPr>
          <c:cat>
            <c:strRef>
              <c:f>'Model Comparisons'!$A$48:$A$52</c:f>
            </c:strRef>
          </c:cat>
          <c:val>
            <c:numRef>
              <c:f>'Model Comparisons'!$C$48:$C$52</c:f>
              <c:numCache/>
            </c:numRef>
          </c:val>
        </c:ser>
        <c:axId val="128718528"/>
        <c:axId val="281647804"/>
      </c:barChart>
      <c:catAx>
        <c:axId val="128718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 Models</a:t>
                </a:r>
              </a:p>
            </c:rich>
          </c:tx>
          <c:overlay val="0"/>
        </c:title>
        <c:numFmt formatCode="General" sourceLinked="1"/>
        <c:majorTickMark val="none"/>
        <c:minorTickMark val="none"/>
        <c:spPr/>
        <c:txPr>
          <a:bodyPr/>
          <a:lstStyle/>
          <a:p>
            <a:pPr lvl="0">
              <a:defRPr b="0">
                <a:solidFill>
                  <a:srgbClr val="000000"/>
                </a:solidFill>
                <a:latin typeface="+mn-lt"/>
              </a:defRPr>
            </a:pPr>
          </a:p>
        </c:txPr>
        <c:crossAx val="281647804"/>
      </c:catAx>
      <c:valAx>
        <c:axId val="2816478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71852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Grok: Length</a:t>
            </a:r>
          </a:p>
        </c:rich>
      </c:tx>
      <c:overlay val="0"/>
    </c:title>
    <c:plotArea>
      <c:layout/>
      <c:pieChart>
        <c:varyColors val="1"/>
        <c:ser>
          <c:idx val="0"/>
          <c:order val="0"/>
          <c:tx>
            <c:strRef>
              <c:f>Grok!$A$3</c:f>
            </c:strRef>
          </c:tx>
          <c:dPt>
            <c:idx val="0"/>
            <c:spPr>
              <a:solidFill>
                <a:srgbClr val="999999"/>
              </a:solidFill>
            </c:spPr>
          </c:dPt>
          <c:dLbls>
            <c:showLegendKey val="0"/>
            <c:showVal val="0"/>
            <c:showCatName val="0"/>
            <c:showSerName val="0"/>
            <c:showPercent val="0"/>
            <c:showBubbleSize val="0"/>
            <c:showLeaderLines val="1"/>
          </c:dLbls>
          <c:cat>
            <c:strRef>
              <c:f>Grok!$B$2:$D$2</c:f>
            </c:strRef>
          </c:cat>
          <c:val>
            <c:numRef>
              <c:f>Grok!$B$3:$D$3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Grok: Readability</a:t>
            </a:r>
          </a:p>
        </c:rich>
      </c:tx>
      <c:overlay val="0"/>
    </c:title>
    <c:plotArea>
      <c:layout/>
      <c:pieChart>
        <c:varyColors val="1"/>
        <c:ser>
          <c:idx val="0"/>
          <c:order val="0"/>
          <c:tx>
            <c:strRef>
              <c:f>Grok!$A$8</c:f>
            </c:strRef>
          </c:tx>
          <c:dPt>
            <c:idx val="0"/>
            <c:spPr>
              <a:solidFill>
                <a:schemeClr val="accent1"/>
              </a:solidFill>
            </c:spPr>
          </c:dPt>
          <c:dLbls>
            <c:showLegendKey val="0"/>
            <c:showVal val="0"/>
            <c:showCatName val="0"/>
            <c:showSerName val="0"/>
            <c:showPercent val="0"/>
            <c:showBubbleSize val="0"/>
            <c:showLeaderLines val="1"/>
          </c:dLbls>
          <c:cat>
            <c:strRef>
              <c:f>Grok!$B$7:$D$7</c:f>
            </c:strRef>
          </c:cat>
          <c:val>
            <c:numRef>
              <c:f>Grok!$B$8:$D$8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Grok: Hallucination</a:t>
            </a:r>
          </a:p>
        </c:rich>
      </c:tx>
      <c:overlay val="0"/>
    </c:title>
    <c:plotArea>
      <c:layout/>
      <c:barChart>
        <c:barDir val="col"/>
        <c:ser>
          <c:idx val="0"/>
          <c:order val="0"/>
          <c:tx>
            <c:strRef>
              <c:f>Grok!$B$12</c:f>
            </c:strRef>
          </c:tx>
          <c:spPr>
            <a:solidFill>
              <a:schemeClr val="accent1"/>
            </a:solidFill>
            <a:ln cmpd="sng">
              <a:solidFill>
                <a:srgbClr val="000000"/>
              </a:solidFill>
            </a:ln>
          </c:spPr>
          <c:cat>
            <c:strRef>
              <c:f>Grok!$A$13</c:f>
            </c:strRef>
          </c:cat>
          <c:val>
            <c:numRef>
              <c:f>Grok!$B$13</c:f>
              <c:numCache/>
            </c:numRef>
          </c:val>
        </c:ser>
        <c:ser>
          <c:idx val="1"/>
          <c:order val="1"/>
          <c:tx>
            <c:strRef>
              <c:f>Grok!$C$12</c:f>
            </c:strRef>
          </c:tx>
          <c:spPr>
            <a:solidFill>
              <a:srgbClr val="999999"/>
            </a:solidFill>
            <a:ln cmpd="sng">
              <a:solidFill>
                <a:srgbClr val="000000"/>
              </a:solidFill>
            </a:ln>
          </c:spPr>
          <c:dPt>
            <c:idx val="0"/>
          </c:dPt>
          <c:cat>
            <c:strRef>
              <c:f>Grok!$A$13</c:f>
            </c:strRef>
          </c:cat>
          <c:val>
            <c:numRef>
              <c:f>Grok!$C$13</c:f>
              <c:numCache/>
            </c:numRef>
          </c:val>
        </c:ser>
        <c:axId val="1447012796"/>
        <c:axId val="1992587485"/>
      </c:barChart>
      <c:catAx>
        <c:axId val="14470127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92587485"/>
      </c:catAx>
      <c:valAx>
        <c:axId val="19925874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7012796"/>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Grok: Personality</a:t>
            </a:r>
          </a:p>
        </c:rich>
      </c:tx>
      <c:overlay val="0"/>
    </c:title>
    <c:plotArea>
      <c:layout/>
      <c:pieChart>
        <c:varyColors val="1"/>
        <c:ser>
          <c:idx val="0"/>
          <c:order val="0"/>
          <c:tx>
            <c:strRef>
              <c:f>Grok!$A$18</c:f>
            </c:strRef>
          </c:tx>
          <c:dPt>
            <c:idx val="0"/>
            <c:spPr>
              <a:solidFill>
                <a:schemeClr val="accent6"/>
              </a:solidFill>
            </c:spPr>
          </c:dPt>
          <c:dLbls>
            <c:showLegendKey val="0"/>
            <c:showVal val="0"/>
            <c:showCatName val="0"/>
            <c:showSerName val="0"/>
            <c:showPercent val="0"/>
            <c:showBubbleSize val="0"/>
            <c:showLeaderLines val="1"/>
          </c:dLbls>
          <c:cat>
            <c:strRef>
              <c:f>Grok!$B$17:$D$17</c:f>
            </c:strRef>
          </c:cat>
          <c:val>
            <c:numRef>
              <c:f>Grok!$B$18:$D$18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Grok: User Intent</a:t>
            </a:r>
          </a:p>
        </c:rich>
      </c:tx>
      <c:overlay val="0"/>
    </c:title>
    <c:plotArea>
      <c:layout/>
      <c:pieChart>
        <c:varyColors val="1"/>
        <c:ser>
          <c:idx val="0"/>
          <c:order val="0"/>
          <c:tx>
            <c:strRef>
              <c:f>Grok!$A$23</c:f>
            </c:strRef>
          </c:tx>
          <c:dPt>
            <c:idx val="0"/>
            <c:spPr>
              <a:solidFill>
                <a:schemeClr val="accent1"/>
              </a:solidFill>
            </c:spPr>
          </c:dPt>
          <c:dLbls>
            <c:showLegendKey val="0"/>
            <c:showVal val="0"/>
            <c:showCatName val="0"/>
            <c:showSerName val="0"/>
            <c:showPercent val="0"/>
            <c:showBubbleSize val="0"/>
            <c:showLeaderLines val="1"/>
          </c:dLbls>
          <c:cat>
            <c:strRef>
              <c:f>Grok!$B$22:$D$22</c:f>
            </c:strRef>
          </c:cat>
          <c:val>
            <c:numRef>
              <c:f>Grok!$B$23:$D$23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Grok: Sources Cited</a:t>
            </a:r>
          </a:p>
        </c:rich>
      </c:tx>
      <c:overlay val="0"/>
    </c:title>
    <c:plotArea>
      <c:layout/>
      <c:barChart>
        <c:barDir val="col"/>
        <c:ser>
          <c:idx val="0"/>
          <c:order val="0"/>
          <c:tx>
            <c:strRef>
              <c:f>Grok!$B$27</c:f>
            </c:strRef>
          </c:tx>
          <c:spPr>
            <a:solidFill>
              <a:srgbClr val="999999"/>
            </a:solidFill>
            <a:ln cmpd="sng">
              <a:solidFill>
                <a:srgbClr val="000000"/>
              </a:solidFill>
            </a:ln>
          </c:spPr>
          <c:cat>
            <c:strRef>
              <c:f>Grok!$A$28</c:f>
            </c:strRef>
          </c:cat>
          <c:val>
            <c:numRef>
              <c:f>Grok!$B$28</c:f>
              <c:numCache/>
            </c:numRef>
          </c:val>
        </c:ser>
        <c:ser>
          <c:idx val="1"/>
          <c:order val="1"/>
          <c:tx>
            <c:strRef>
              <c:f>Grok!$C$27</c:f>
            </c:strRef>
          </c:tx>
          <c:spPr>
            <a:solidFill>
              <a:schemeClr val="accent1"/>
            </a:solidFill>
            <a:ln cmpd="sng">
              <a:solidFill>
                <a:srgbClr val="000000"/>
              </a:solidFill>
            </a:ln>
          </c:spPr>
          <c:cat>
            <c:strRef>
              <c:f>Grok!$A$28</c:f>
            </c:strRef>
          </c:cat>
          <c:val>
            <c:numRef>
              <c:f>Grok!$C$28</c:f>
              <c:numCache/>
            </c:numRef>
          </c:val>
        </c:ser>
        <c:axId val="1723956803"/>
        <c:axId val="476596914"/>
      </c:barChart>
      <c:catAx>
        <c:axId val="17239568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6596914"/>
      </c:catAx>
      <c:valAx>
        <c:axId val="476596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395680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Gemini: Length</a:t>
            </a:r>
          </a:p>
        </c:rich>
      </c:tx>
      <c:overlay val="0"/>
    </c:title>
    <c:plotArea>
      <c:layout/>
      <c:pieChart>
        <c:varyColors val="1"/>
        <c:ser>
          <c:idx val="0"/>
          <c:order val="0"/>
          <c:tx>
            <c:strRef>
              <c:f>Gemini!$A$3</c:f>
            </c:strRef>
          </c:tx>
          <c:dPt>
            <c:idx val="0"/>
            <c:spPr>
              <a:solidFill>
                <a:srgbClr val="999999"/>
              </a:solidFill>
            </c:spPr>
          </c:dPt>
          <c:dLbls>
            <c:showLegendKey val="0"/>
            <c:showVal val="0"/>
            <c:showCatName val="0"/>
            <c:showSerName val="0"/>
            <c:showPercent val="0"/>
            <c:showBubbleSize val="0"/>
            <c:showLeaderLines val="1"/>
          </c:dLbls>
          <c:cat>
            <c:strRef>
              <c:f>Gemini!$B$2:$D$2</c:f>
            </c:strRef>
          </c:cat>
          <c:val>
            <c:numRef>
              <c:f>Gemini!$B$3:$D$3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Gemini: Readability</a:t>
            </a:r>
          </a:p>
        </c:rich>
      </c:tx>
      <c:overlay val="0"/>
    </c:title>
    <c:plotArea>
      <c:layout/>
      <c:pieChart>
        <c:varyColors val="1"/>
        <c:ser>
          <c:idx val="0"/>
          <c:order val="0"/>
          <c:tx>
            <c:strRef>
              <c:f>Gemini!$A$8</c:f>
            </c:strRef>
          </c:tx>
          <c:dPt>
            <c:idx val="0"/>
            <c:spPr>
              <a:solidFill>
                <a:schemeClr val="accent1"/>
              </a:solidFill>
            </c:spPr>
          </c:dPt>
          <c:dLbls>
            <c:showLegendKey val="0"/>
            <c:showVal val="0"/>
            <c:showCatName val="0"/>
            <c:showSerName val="0"/>
            <c:showPercent val="0"/>
            <c:showBubbleSize val="0"/>
            <c:showLeaderLines val="1"/>
          </c:dLbls>
          <c:cat>
            <c:strRef>
              <c:f>Gemini!$B$7:$D$7</c:f>
            </c:strRef>
          </c:cat>
          <c:val>
            <c:numRef>
              <c:f>Gemini!$B$8:$D$8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Gemini: Hallucination</a:t>
            </a:r>
          </a:p>
        </c:rich>
      </c:tx>
      <c:overlay val="0"/>
    </c:title>
    <c:plotArea>
      <c:layout/>
      <c:barChart>
        <c:barDir val="col"/>
        <c:ser>
          <c:idx val="0"/>
          <c:order val="0"/>
          <c:tx>
            <c:strRef>
              <c:f>Gemini!$B$12</c:f>
            </c:strRef>
          </c:tx>
          <c:spPr>
            <a:solidFill>
              <a:schemeClr val="accent1"/>
            </a:solidFill>
            <a:ln cmpd="sng">
              <a:solidFill>
                <a:srgbClr val="000000"/>
              </a:solidFill>
            </a:ln>
          </c:spPr>
          <c:cat>
            <c:strRef>
              <c:f>Gemini!$A$13</c:f>
            </c:strRef>
          </c:cat>
          <c:val>
            <c:numRef>
              <c:f>Gemini!$B$13</c:f>
              <c:numCache/>
            </c:numRef>
          </c:val>
        </c:ser>
        <c:ser>
          <c:idx val="1"/>
          <c:order val="1"/>
          <c:tx>
            <c:strRef>
              <c:f>Gemini!$C$12</c:f>
            </c:strRef>
          </c:tx>
          <c:spPr>
            <a:solidFill>
              <a:srgbClr val="999999"/>
            </a:solidFill>
            <a:ln cmpd="sng">
              <a:solidFill>
                <a:srgbClr val="000000"/>
              </a:solidFill>
            </a:ln>
          </c:spPr>
          <c:dPt>
            <c:idx val="0"/>
          </c:dPt>
          <c:cat>
            <c:strRef>
              <c:f>Gemini!$A$13</c:f>
            </c:strRef>
          </c:cat>
          <c:val>
            <c:numRef>
              <c:f>Gemini!$C$13</c:f>
              <c:numCache/>
            </c:numRef>
          </c:val>
        </c:ser>
        <c:axId val="36543210"/>
        <c:axId val="69403627"/>
      </c:barChart>
      <c:catAx>
        <c:axId val="365432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9403627"/>
      </c:catAx>
      <c:valAx>
        <c:axId val="694036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543210"/>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Gemini: Personality</a:t>
            </a:r>
          </a:p>
        </c:rich>
      </c:tx>
      <c:layout>
        <c:manualLayout>
          <c:xMode val="edge"/>
          <c:yMode val="edge"/>
          <c:x val="0.02925"/>
          <c:y val="0.05"/>
        </c:manualLayout>
      </c:layout>
      <c:overlay val="0"/>
    </c:title>
    <c:plotArea>
      <c:layout/>
      <c:pieChart>
        <c:varyColors val="1"/>
        <c:ser>
          <c:idx val="0"/>
          <c:order val="0"/>
          <c:tx>
            <c:strRef>
              <c:f>Gemini!$A$18</c:f>
            </c:strRef>
          </c:tx>
          <c:dPt>
            <c:idx val="0"/>
            <c:spPr>
              <a:solidFill>
                <a:schemeClr val="accent6"/>
              </a:solidFill>
            </c:spPr>
          </c:dPt>
          <c:dLbls>
            <c:showLegendKey val="0"/>
            <c:showVal val="0"/>
            <c:showCatName val="0"/>
            <c:showSerName val="0"/>
            <c:showPercent val="0"/>
            <c:showBubbleSize val="0"/>
            <c:showLeaderLines val="1"/>
          </c:dLbls>
          <c:cat>
            <c:strRef>
              <c:f>Gemini!$B$17:$D$17</c:f>
            </c:strRef>
          </c:cat>
          <c:val>
            <c:numRef>
              <c:f>Gemini!$B$18:$D$18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Gemini: User Intent</a:t>
            </a:r>
          </a:p>
        </c:rich>
      </c:tx>
      <c:overlay val="0"/>
    </c:title>
    <c:plotArea>
      <c:layout/>
      <c:pieChart>
        <c:varyColors val="1"/>
        <c:ser>
          <c:idx val="0"/>
          <c:order val="0"/>
          <c:tx>
            <c:strRef>
              <c:f>Gemini!$A$23</c:f>
            </c:strRef>
          </c:tx>
          <c:dPt>
            <c:idx val="0"/>
            <c:spPr>
              <a:solidFill>
                <a:schemeClr val="accent1"/>
              </a:solidFill>
            </c:spPr>
          </c:dPt>
          <c:dLbls>
            <c:showLegendKey val="0"/>
            <c:showVal val="0"/>
            <c:showCatName val="0"/>
            <c:showSerName val="0"/>
            <c:showPercent val="0"/>
            <c:showBubbleSize val="0"/>
            <c:showLeaderLines val="1"/>
          </c:dLbls>
          <c:cat>
            <c:strRef>
              <c:f>Gemini!$B$22:$D$22</c:f>
            </c:strRef>
          </c:cat>
          <c:val>
            <c:numRef>
              <c:f>Gemini!$B$23:$D$23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Gemini: Sources Cited</a:t>
            </a:r>
          </a:p>
        </c:rich>
      </c:tx>
      <c:overlay val="0"/>
    </c:title>
    <c:plotArea>
      <c:layout/>
      <c:barChart>
        <c:barDir val="col"/>
        <c:ser>
          <c:idx val="0"/>
          <c:order val="0"/>
          <c:tx>
            <c:strRef>
              <c:f>Gemini!$B$27</c:f>
            </c:strRef>
          </c:tx>
          <c:spPr>
            <a:solidFill>
              <a:srgbClr val="999999"/>
            </a:solidFill>
            <a:ln cmpd="sng">
              <a:solidFill>
                <a:srgbClr val="000000"/>
              </a:solidFill>
            </a:ln>
          </c:spPr>
          <c:cat>
            <c:strRef>
              <c:f>Gemini!$A$28</c:f>
            </c:strRef>
          </c:cat>
          <c:val>
            <c:numRef>
              <c:f>Gemini!$B$28</c:f>
              <c:numCache/>
            </c:numRef>
          </c:val>
        </c:ser>
        <c:ser>
          <c:idx val="1"/>
          <c:order val="1"/>
          <c:tx>
            <c:strRef>
              <c:f>Gemini!$C$27</c:f>
            </c:strRef>
          </c:tx>
          <c:spPr>
            <a:solidFill>
              <a:schemeClr val="accent1"/>
            </a:solidFill>
            <a:ln cmpd="sng">
              <a:solidFill>
                <a:srgbClr val="000000"/>
              </a:solidFill>
            </a:ln>
          </c:spPr>
          <c:cat>
            <c:strRef>
              <c:f>Gemini!$A$28</c:f>
            </c:strRef>
          </c:cat>
          <c:val>
            <c:numRef>
              <c:f>Gemini!$C$28</c:f>
              <c:numCache/>
            </c:numRef>
          </c:val>
        </c:ser>
        <c:axId val="906539961"/>
        <c:axId val="1980179522"/>
      </c:barChart>
      <c:catAx>
        <c:axId val="9065399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0179522"/>
      </c:catAx>
      <c:valAx>
        <c:axId val="19801795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6539961"/>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Chat GPT: Length</a:t>
            </a:r>
          </a:p>
        </c:rich>
      </c:tx>
      <c:overlay val="0"/>
    </c:title>
    <c:plotArea>
      <c:layout/>
      <c:pieChart>
        <c:varyColors val="1"/>
        <c:ser>
          <c:idx val="0"/>
          <c:order val="0"/>
          <c:tx>
            <c:strRef>
              <c:f>'Chat GPT'!$A$3</c:f>
            </c:strRef>
          </c:tx>
          <c:dPt>
            <c:idx val="0"/>
            <c:spPr>
              <a:solidFill>
                <a:srgbClr val="999999"/>
              </a:solidFill>
            </c:spPr>
          </c:dPt>
          <c:dLbls>
            <c:showLegendKey val="0"/>
            <c:showVal val="0"/>
            <c:showCatName val="0"/>
            <c:showSerName val="0"/>
            <c:showPercent val="0"/>
            <c:showBubbleSize val="0"/>
            <c:showLeaderLines val="1"/>
          </c:dLbls>
          <c:cat>
            <c:strRef>
              <c:f>'Chat GPT'!$B$2:$D$2</c:f>
            </c:strRef>
          </c:cat>
          <c:val>
            <c:numRef>
              <c:f>'Chat GPT'!$B$3:$D$3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Chat GPT: Readability</a:t>
            </a:r>
          </a:p>
        </c:rich>
      </c:tx>
      <c:overlay val="0"/>
    </c:title>
    <c:plotArea>
      <c:layout/>
      <c:pieChart>
        <c:varyColors val="1"/>
        <c:ser>
          <c:idx val="0"/>
          <c:order val="0"/>
          <c:tx>
            <c:strRef>
              <c:f>'Chat GPT'!$A$8</c:f>
            </c:strRef>
          </c:tx>
          <c:dPt>
            <c:idx val="0"/>
            <c:spPr>
              <a:solidFill>
                <a:schemeClr val="accent1"/>
              </a:solidFill>
            </c:spPr>
          </c:dPt>
          <c:dLbls>
            <c:showLegendKey val="0"/>
            <c:showVal val="0"/>
            <c:showCatName val="0"/>
            <c:showSerName val="0"/>
            <c:showPercent val="0"/>
            <c:showBubbleSize val="0"/>
            <c:showLeaderLines val="1"/>
          </c:dLbls>
          <c:cat>
            <c:strRef>
              <c:f>'Chat GPT'!$B$7:$C$7</c:f>
            </c:strRef>
          </c:cat>
          <c:val>
            <c:numRef>
              <c:f>'Chat GPT'!$B$8:$C$8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Chat GPT: Hallucination</a:t>
            </a:r>
          </a:p>
        </c:rich>
      </c:tx>
      <c:overlay val="0"/>
    </c:title>
    <c:plotArea>
      <c:layout/>
      <c:barChart>
        <c:barDir val="col"/>
        <c:ser>
          <c:idx val="0"/>
          <c:order val="0"/>
          <c:tx>
            <c:strRef>
              <c:f>'Chat GPT'!$B$12</c:f>
            </c:strRef>
          </c:tx>
          <c:spPr>
            <a:solidFill>
              <a:schemeClr val="accent1"/>
            </a:solidFill>
            <a:ln cmpd="sng">
              <a:solidFill>
                <a:srgbClr val="000000"/>
              </a:solidFill>
            </a:ln>
          </c:spPr>
          <c:cat>
            <c:strRef>
              <c:f>'Chat GPT'!$A$13</c:f>
            </c:strRef>
          </c:cat>
          <c:val>
            <c:numRef>
              <c:f>'Chat GPT'!$B$13</c:f>
              <c:numCache/>
            </c:numRef>
          </c:val>
        </c:ser>
        <c:ser>
          <c:idx val="1"/>
          <c:order val="1"/>
          <c:tx>
            <c:strRef>
              <c:f>'Chat GPT'!$C$12</c:f>
            </c:strRef>
          </c:tx>
          <c:spPr>
            <a:solidFill>
              <a:srgbClr val="999999"/>
            </a:solidFill>
            <a:ln cmpd="sng">
              <a:solidFill>
                <a:srgbClr val="000000"/>
              </a:solidFill>
            </a:ln>
          </c:spPr>
          <c:cat>
            <c:strRef>
              <c:f>'Chat GPT'!$A$13</c:f>
            </c:strRef>
          </c:cat>
          <c:val>
            <c:numRef>
              <c:f>'Chat GPT'!$C$13</c:f>
              <c:numCache/>
            </c:numRef>
          </c:val>
        </c:ser>
        <c:axId val="1344016243"/>
        <c:axId val="2066210849"/>
      </c:barChart>
      <c:catAx>
        <c:axId val="1344016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6210849"/>
      </c:catAx>
      <c:valAx>
        <c:axId val="20662108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4016243"/>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Chat GPT: Personality</a:t>
            </a:r>
          </a:p>
        </c:rich>
      </c:tx>
      <c:overlay val="0"/>
    </c:title>
    <c:plotArea>
      <c:layout/>
      <c:pieChart>
        <c:varyColors val="1"/>
        <c:ser>
          <c:idx val="0"/>
          <c:order val="0"/>
          <c:tx>
            <c:strRef>
              <c:f>'Chat GPT'!$A$18</c:f>
            </c:strRef>
          </c:tx>
          <c:dPt>
            <c:idx val="0"/>
            <c:spPr>
              <a:solidFill>
                <a:srgbClr val="999999"/>
              </a:solidFill>
            </c:spPr>
          </c:dPt>
          <c:dLbls>
            <c:showLegendKey val="0"/>
            <c:showVal val="0"/>
            <c:showCatName val="0"/>
            <c:showSerName val="0"/>
            <c:showPercent val="0"/>
            <c:showBubbleSize val="0"/>
            <c:showLeaderLines val="1"/>
          </c:dLbls>
          <c:cat>
            <c:strRef>
              <c:f>'Chat GPT'!$B$17:$C$17</c:f>
            </c:strRef>
          </c:cat>
          <c:val>
            <c:numRef>
              <c:f>'Chat GPT'!$B$18:$C$18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Chat GPT: User Intent</a:t>
            </a:r>
          </a:p>
        </c:rich>
      </c:tx>
      <c:overlay val="0"/>
    </c:title>
    <c:plotArea>
      <c:layout/>
      <c:pieChart>
        <c:varyColors val="1"/>
        <c:ser>
          <c:idx val="0"/>
          <c:order val="0"/>
          <c:tx>
            <c:strRef>
              <c:f>'Chat GPT'!$A$23</c:f>
            </c:strRef>
          </c:tx>
          <c:dPt>
            <c:idx val="0"/>
            <c:spPr>
              <a:solidFill>
                <a:schemeClr val="accent1"/>
              </a:solidFill>
            </c:spPr>
          </c:dPt>
          <c:dLbls>
            <c:showLegendKey val="0"/>
            <c:showVal val="0"/>
            <c:showCatName val="0"/>
            <c:showSerName val="0"/>
            <c:showPercent val="0"/>
            <c:showBubbleSize val="0"/>
            <c:showLeaderLines val="1"/>
          </c:dLbls>
          <c:cat>
            <c:strRef>
              <c:f>'Chat GPT'!$B$22:$C$22</c:f>
            </c:strRef>
          </c:cat>
          <c:val>
            <c:numRef>
              <c:f>'Chat GPT'!$B$23:$C$23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Chat GPT: Sources Cited</a:t>
            </a:r>
          </a:p>
        </c:rich>
      </c:tx>
      <c:overlay val="0"/>
    </c:title>
    <c:plotArea>
      <c:layout/>
      <c:barChart>
        <c:barDir val="col"/>
        <c:ser>
          <c:idx val="0"/>
          <c:order val="0"/>
          <c:tx>
            <c:strRef>
              <c:f>'Chat GPT'!$B$27</c:f>
            </c:strRef>
          </c:tx>
          <c:spPr>
            <a:solidFill>
              <a:srgbClr val="999999"/>
            </a:solidFill>
            <a:ln cmpd="sng">
              <a:solidFill>
                <a:srgbClr val="000000"/>
              </a:solidFill>
            </a:ln>
          </c:spPr>
          <c:cat>
            <c:strRef>
              <c:f>'Chat GPT'!$A$28</c:f>
            </c:strRef>
          </c:cat>
          <c:val>
            <c:numRef>
              <c:f>'Chat GPT'!$B$28</c:f>
              <c:numCache/>
            </c:numRef>
          </c:val>
        </c:ser>
        <c:ser>
          <c:idx val="1"/>
          <c:order val="1"/>
          <c:tx>
            <c:strRef>
              <c:f>'Chat GPT'!$C$27</c:f>
            </c:strRef>
          </c:tx>
          <c:spPr>
            <a:solidFill>
              <a:schemeClr val="accent1"/>
            </a:solidFill>
            <a:ln cmpd="sng">
              <a:solidFill>
                <a:srgbClr val="000000"/>
              </a:solidFill>
            </a:ln>
          </c:spPr>
          <c:cat>
            <c:strRef>
              <c:f>'Chat GPT'!$A$28</c:f>
            </c:strRef>
          </c:cat>
          <c:val>
            <c:numRef>
              <c:f>'Chat GPT'!$C$28</c:f>
              <c:numCache/>
            </c:numRef>
          </c:val>
        </c:ser>
        <c:axId val="965087701"/>
        <c:axId val="2057550726"/>
      </c:barChart>
      <c:catAx>
        <c:axId val="9650877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7550726"/>
      </c:catAx>
      <c:valAx>
        <c:axId val="20575507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5087701"/>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Perplexity AI: Length</a:t>
            </a:r>
          </a:p>
        </c:rich>
      </c:tx>
      <c:overlay val="0"/>
    </c:title>
    <c:plotArea>
      <c:layout/>
      <c:pieChart>
        <c:varyColors val="1"/>
        <c:ser>
          <c:idx val="0"/>
          <c:order val="0"/>
          <c:tx>
            <c:strRef>
              <c:f>'Perplexity AI'!$A$3</c:f>
            </c:strRef>
          </c:tx>
          <c:dPt>
            <c:idx val="0"/>
            <c:spPr>
              <a:solidFill>
                <a:srgbClr val="999999"/>
              </a:solidFill>
            </c:spPr>
          </c:dPt>
          <c:dLbls>
            <c:showLegendKey val="0"/>
            <c:showVal val="0"/>
            <c:showCatName val="0"/>
            <c:showSerName val="0"/>
            <c:showPercent val="0"/>
            <c:showBubbleSize val="0"/>
            <c:showLeaderLines val="1"/>
          </c:dLbls>
          <c:cat>
            <c:strRef>
              <c:f>'Perplexity AI'!$B$2:$D$2</c:f>
            </c:strRef>
          </c:cat>
          <c:val>
            <c:numRef>
              <c:f>'Perplexity AI'!$B$3:$D$3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Perplexity AI: Readability</a:t>
            </a:r>
          </a:p>
        </c:rich>
      </c:tx>
      <c:overlay val="0"/>
    </c:title>
    <c:plotArea>
      <c:layout/>
      <c:pieChart>
        <c:varyColors val="1"/>
        <c:ser>
          <c:idx val="0"/>
          <c:order val="0"/>
          <c:tx>
            <c:strRef>
              <c:f>'Perplexity AI'!$A$8</c:f>
            </c:strRef>
          </c:tx>
          <c:dPt>
            <c:idx val="0"/>
            <c:spPr>
              <a:solidFill>
                <a:schemeClr val="accent1"/>
              </a:solidFill>
            </c:spPr>
          </c:dPt>
          <c:dLbls>
            <c:showLegendKey val="0"/>
            <c:showVal val="0"/>
            <c:showCatName val="0"/>
            <c:showSerName val="0"/>
            <c:showPercent val="0"/>
            <c:showBubbleSize val="0"/>
            <c:showLeaderLines val="1"/>
          </c:dLbls>
          <c:cat>
            <c:strRef>
              <c:f>'Perplexity AI'!$B$7:$D$7</c:f>
            </c:strRef>
          </c:cat>
          <c:val>
            <c:numRef>
              <c:f>'Perplexity AI'!$B$8:$D$8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Perplexity AI: Hallucination</a:t>
            </a:r>
          </a:p>
        </c:rich>
      </c:tx>
      <c:overlay val="0"/>
    </c:title>
    <c:plotArea>
      <c:layout/>
      <c:barChart>
        <c:barDir val="col"/>
        <c:ser>
          <c:idx val="0"/>
          <c:order val="0"/>
          <c:tx>
            <c:strRef>
              <c:f>'Perplexity AI'!$B$12</c:f>
            </c:strRef>
          </c:tx>
          <c:spPr>
            <a:solidFill>
              <a:schemeClr val="accent1"/>
            </a:solidFill>
            <a:ln cmpd="sng">
              <a:solidFill>
                <a:srgbClr val="000000"/>
              </a:solidFill>
            </a:ln>
          </c:spPr>
          <c:cat>
            <c:strRef>
              <c:f>'Perplexity AI'!$A$13</c:f>
            </c:strRef>
          </c:cat>
          <c:val>
            <c:numRef>
              <c:f>'Perplexity AI'!$B$13</c:f>
              <c:numCache/>
            </c:numRef>
          </c:val>
        </c:ser>
        <c:ser>
          <c:idx val="1"/>
          <c:order val="1"/>
          <c:tx>
            <c:strRef>
              <c:f>'Perplexity AI'!$C$12</c:f>
            </c:strRef>
          </c:tx>
          <c:spPr>
            <a:solidFill>
              <a:srgbClr val="999999"/>
            </a:solidFill>
            <a:ln cmpd="sng">
              <a:solidFill>
                <a:srgbClr val="000000"/>
              </a:solidFill>
            </a:ln>
          </c:spPr>
          <c:cat>
            <c:strRef>
              <c:f>'Perplexity AI'!$A$13</c:f>
            </c:strRef>
          </c:cat>
          <c:val>
            <c:numRef>
              <c:f>'Perplexity AI'!$C$13</c:f>
              <c:numCache/>
            </c:numRef>
          </c:val>
        </c:ser>
        <c:axId val="1354152676"/>
        <c:axId val="93781239"/>
      </c:barChart>
      <c:catAx>
        <c:axId val="13541526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3781239"/>
      </c:catAx>
      <c:valAx>
        <c:axId val="937812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4152676"/>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Perplexity AI: Personality</a:t>
            </a:r>
          </a:p>
        </c:rich>
      </c:tx>
      <c:overlay val="0"/>
    </c:title>
    <c:plotArea>
      <c:layout/>
      <c:pieChart>
        <c:varyColors val="1"/>
        <c:ser>
          <c:idx val="0"/>
          <c:order val="0"/>
          <c:tx>
            <c:strRef>
              <c:f>'Perplexity AI'!$A$18</c:f>
            </c:strRef>
          </c:tx>
          <c:dPt>
            <c:idx val="0"/>
            <c:spPr>
              <a:solidFill>
                <a:schemeClr val="accent6"/>
              </a:solidFill>
            </c:spPr>
          </c:dPt>
          <c:dLbls>
            <c:showLegendKey val="0"/>
            <c:showVal val="0"/>
            <c:showCatName val="0"/>
            <c:showSerName val="0"/>
            <c:showPercent val="0"/>
            <c:showBubbleSize val="0"/>
            <c:showLeaderLines val="1"/>
          </c:dLbls>
          <c:cat>
            <c:strRef>
              <c:f>'Perplexity AI'!$B$17:$D$17</c:f>
            </c:strRef>
          </c:cat>
          <c:val>
            <c:numRef>
              <c:f>'Perplexity AI'!$B$18:$D$18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Perplexity AI: User Intent</a:t>
            </a:r>
          </a:p>
        </c:rich>
      </c:tx>
      <c:overlay val="0"/>
    </c:title>
    <c:plotArea>
      <c:layout/>
      <c:pieChart>
        <c:varyColors val="1"/>
        <c:ser>
          <c:idx val="0"/>
          <c:order val="0"/>
          <c:tx>
            <c:strRef>
              <c:f>'Perplexity AI'!$A$23</c:f>
            </c:strRef>
          </c:tx>
          <c:dPt>
            <c:idx val="0"/>
            <c:spPr>
              <a:solidFill>
                <a:schemeClr val="accent1"/>
              </a:solidFill>
            </c:spPr>
          </c:dPt>
          <c:dLbls>
            <c:showLegendKey val="0"/>
            <c:showVal val="0"/>
            <c:showCatName val="0"/>
            <c:showSerName val="0"/>
            <c:showPercent val="0"/>
            <c:showBubbleSize val="0"/>
            <c:showLeaderLines val="1"/>
          </c:dLbls>
          <c:cat>
            <c:strRef>
              <c:f>'Perplexity AI'!$B$22:$D$22</c:f>
            </c:strRef>
          </c:cat>
          <c:val>
            <c:numRef>
              <c:f>'Perplexity AI'!$B$23:$D$23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Perplexity AI: Sources Cited</a:t>
            </a:r>
          </a:p>
        </c:rich>
      </c:tx>
      <c:overlay val="0"/>
    </c:title>
    <c:plotArea>
      <c:layout/>
      <c:barChart>
        <c:barDir val="col"/>
        <c:ser>
          <c:idx val="0"/>
          <c:order val="0"/>
          <c:tx>
            <c:strRef>
              <c:f>'Perplexity AI'!$B$27</c:f>
            </c:strRef>
          </c:tx>
          <c:spPr>
            <a:solidFill>
              <a:srgbClr val="999999"/>
            </a:solidFill>
            <a:ln cmpd="sng">
              <a:solidFill>
                <a:srgbClr val="000000"/>
              </a:solidFill>
            </a:ln>
          </c:spPr>
          <c:cat>
            <c:strRef>
              <c:f>'Perplexity AI'!$A$28</c:f>
            </c:strRef>
          </c:cat>
          <c:val>
            <c:numRef>
              <c:f>'Perplexity AI'!$B$28</c:f>
              <c:numCache/>
            </c:numRef>
          </c:val>
        </c:ser>
        <c:ser>
          <c:idx val="1"/>
          <c:order val="1"/>
          <c:tx>
            <c:strRef>
              <c:f>'Perplexity AI'!$C$27</c:f>
            </c:strRef>
          </c:tx>
          <c:spPr>
            <a:solidFill>
              <a:schemeClr val="accent1"/>
            </a:solidFill>
            <a:ln cmpd="sng">
              <a:solidFill>
                <a:srgbClr val="000000"/>
              </a:solidFill>
            </a:ln>
          </c:spPr>
          <c:cat>
            <c:strRef>
              <c:f>'Perplexity AI'!$A$28</c:f>
            </c:strRef>
          </c:cat>
          <c:val>
            <c:numRef>
              <c:f>'Perplexity AI'!$C$28</c:f>
              <c:numCache/>
            </c:numRef>
          </c:val>
        </c:ser>
        <c:axId val="611378103"/>
        <c:axId val="521453894"/>
      </c:barChart>
      <c:catAx>
        <c:axId val="611378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21453894"/>
      </c:catAx>
      <c:valAx>
        <c:axId val="521453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1378103"/>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Claude: Length</a:t>
            </a:r>
          </a:p>
        </c:rich>
      </c:tx>
      <c:overlay val="0"/>
    </c:title>
    <c:plotArea>
      <c:layout/>
      <c:pieChart>
        <c:varyColors val="1"/>
        <c:ser>
          <c:idx val="0"/>
          <c:order val="0"/>
          <c:tx>
            <c:strRef>
              <c:f>Claude!$A$3</c:f>
            </c:strRef>
          </c:tx>
          <c:dPt>
            <c:idx val="0"/>
            <c:spPr>
              <a:solidFill>
                <a:srgbClr val="999999"/>
              </a:solidFill>
            </c:spPr>
          </c:dPt>
          <c:dLbls>
            <c:showLegendKey val="0"/>
            <c:showVal val="0"/>
            <c:showCatName val="0"/>
            <c:showSerName val="0"/>
            <c:showPercent val="0"/>
            <c:showBubbleSize val="0"/>
            <c:showLeaderLines val="1"/>
          </c:dLbls>
          <c:cat>
            <c:strRef>
              <c:f>Claude!$B$2:$D$2</c:f>
            </c:strRef>
          </c:cat>
          <c:val>
            <c:numRef>
              <c:f>Claude!$B$3:$D$3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Claude: Readability </a:t>
            </a:r>
          </a:p>
        </c:rich>
      </c:tx>
      <c:overlay val="0"/>
    </c:title>
    <c:plotArea>
      <c:layout/>
      <c:pieChart>
        <c:varyColors val="1"/>
        <c:ser>
          <c:idx val="0"/>
          <c:order val="0"/>
          <c:tx>
            <c:strRef>
              <c:f>Claude!$A$8</c:f>
            </c:strRef>
          </c:tx>
          <c:dPt>
            <c:idx val="0"/>
            <c:spPr>
              <a:solidFill>
                <a:schemeClr val="accent1"/>
              </a:solidFill>
            </c:spPr>
          </c:dPt>
          <c:dLbls>
            <c:showLegendKey val="0"/>
            <c:showVal val="0"/>
            <c:showCatName val="0"/>
            <c:showSerName val="0"/>
            <c:showPercent val="0"/>
            <c:showBubbleSize val="0"/>
            <c:showLeaderLines val="1"/>
          </c:dLbls>
          <c:cat>
            <c:strRef>
              <c:f>Claude!$B$7:$C$7</c:f>
            </c:strRef>
          </c:cat>
          <c:val>
            <c:numRef>
              <c:f>Claude!$B$8:$C$8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Claude: Hallucination</a:t>
            </a:r>
          </a:p>
        </c:rich>
      </c:tx>
      <c:overlay val="0"/>
    </c:title>
    <c:plotArea>
      <c:layout/>
      <c:barChart>
        <c:barDir val="col"/>
        <c:ser>
          <c:idx val="0"/>
          <c:order val="0"/>
          <c:tx>
            <c:strRef>
              <c:f>Claude!$B$12</c:f>
            </c:strRef>
          </c:tx>
          <c:spPr>
            <a:solidFill>
              <a:schemeClr val="accent1"/>
            </a:solidFill>
            <a:ln cmpd="sng">
              <a:solidFill>
                <a:srgbClr val="000000"/>
              </a:solidFill>
            </a:ln>
          </c:spPr>
          <c:cat>
            <c:strRef>
              <c:f>Claude!$A$13</c:f>
            </c:strRef>
          </c:cat>
          <c:val>
            <c:numRef>
              <c:f>Claude!$B$13</c:f>
              <c:numCache/>
            </c:numRef>
          </c:val>
        </c:ser>
        <c:ser>
          <c:idx val="1"/>
          <c:order val="1"/>
          <c:tx>
            <c:strRef>
              <c:f>Claude!$C$12</c:f>
            </c:strRef>
          </c:tx>
          <c:spPr>
            <a:solidFill>
              <a:srgbClr val="999999"/>
            </a:solidFill>
            <a:ln cmpd="sng">
              <a:solidFill>
                <a:srgbClr val="000000"/>
              </a:solidFill>
            </a:ln>
          </c:spPr>
          <c:cat>
            <c:strRef>
              <c:f>Claude!$A$13</c:f>
            </c:strRef>
          </c:cat>
          <c:val>
            <c:numRef>
              <c:f>Claude!$C$13</c:f>
              <c:numCache/>
            </c:numRef>
          </c:val>
        </c:ser>
        <c:axId val="1876470282"/>
        <c:axId val="1588733139"/>
      </c:barChart>
      <c:catAx>
        <c:axId val="18764702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88733139"/>
      </c:catAx>
      <c:valAx>
        <c:axId val="15887331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6470282"/>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Claude: User Intent</a:t>
            </a:r>
          </a:p>
        </c:rich>
      </c:tx>
      <c:overlay val="0"/>
    </c:title>
    <c:plotArea>
      <c:layout/>
      <c:pieChart>
        <c:varyColors val="1"/>
        <c:ser>
          <c:idx val="0"/>
          <c:order val="0"/>
          <c:tx>
            <c:strRef>
              <c:f>Claude!$A$23</c:f>
            </c:strRef>
          </c:tx>
          <c:dPt>
            <c:idx val="0"/>
            <c:spPr>
              <a:solidFill>
                <a:schemeClr val="accent1"/>
              </a:solidFill>
            </c:spPr>
          </c:dPt>
          <c:dLbls>
            <c:showLegendKey val="0"/>
            <c:showVal val="0"/>
            <c:showCatName val="0"/>
            <c:showSerName val="0"/>
            <c:showPercent val="0"/>
            <c:showBubbleSize val="0"/>
            <c:showLeaderLines val="1"/>
          </c:dLbls>
          <c:cat>
            <c:strRef>
              <c:f>Claude!$B$22:$D$22</c:f>
            </c:strRef>
          </c:cat>
          <c:val>
            <c:numRef>
              <c:f>Claude!$B$23:$D$23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Claude: Personality</a:t>
            </a:r>
          </a:p>
        </c:rich>
      </c:tx>
      <c:overlay val="0"/>
    </c:title>
    <c:plotArea>
      <c:layout/>
      <c:pieChart>
        <c:varyColors val="1"/>
        <c:ser>
          <c:idx val="0"/>
          <c:order val="0"/>
          <c:tx>
            <c:strRef>
              <c:f>Claude!$A$18</c:f>
            </c:strRef>
          </c:tx>
          <c:dPt>
            <c:idx val="0"/>
            <c:spPr>
              <a:solidFill>
                <a:schemeClr val="accent6"/>
              </a:solidFill>
            </c:spPr>
          </c:dPt>
          <c:dLbls>
            <c:showLegendKey val="0"/>
            <c:showVal val="0"/>
            <c:showCatName val="0"/>
            <c:showSerName val="0"/>
            <c:showPercent val="0"/>
            <c:showBubbleSize val="0"/>
            <c:showLeaderLines val="1"/>
          </c:dLbls>
          <c:cat>
            <c:strRef>
              <c:f>Claude!$B$17:$D$17</c:f>
            </c:strRef>
          </c:cat>
          <c:val>
            <c:numRef>
              <c:f>Claude!$B$18:$D$18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Relationship Id="rId5" Type="http://schemas.openxmlformats.org/officeDocument/2006/relationships/chart" Target="../charts/chart16.xml"/><Relationship Id="rId6"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4.xml"/><Relationship Id="rId2" Type="http://schemas.openxmlformats.org/officeDocument/2006/relationships/chart" Target="../charts/chart25.xml"/><Relationship Id="rId3" Type="http://schemas.openxmlformats.org/officeDocument/2006/relationships/chart" Target="../charts/chart26.xml"/><Relationship Id="rId4" Type="http://schemas.openxmlformats.org/officeDocument/2006/relationships/chart" Target="../charts/chart27.xml"/><Relationship Id="rId5" Type="http://schemas.openxmlformats.org/officeDocument/2006/relationships/chart" Target="../charts/chart28.xml"/><Relationship Id="rId6"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0.xml"/><Relationship Id="rId2" Type="http://schemas.openxmlformats.org/officeDocument/2006/relationships/chart" Target="../charts/chart31.xml"/><Relationship Id="rId3" Type="http://schemas.openxmlformats.org/officeDocument/2006/relationships/chart" Target="../charts/chart32.xml"/><Relationship Id="rId4" Type="http://schemas.openxmlformats.org/officeDocument/2006/relationships/chart" Target="../charts/chart33.xml"/><Relationship Id="rId5"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885825</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942975</xdr:colOff>
      <xdr:row>17</xdr:row>
      <xdr:rowOff>28575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885825</xdr:colOff>
      <xdr:row>17</xdr:row>
      <xdr:rowOff>28575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942975</xdr:colOff>
      <xdr:row>34</xdr:row>
      <xdr:rowOff>76200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0</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866775</xdr:colOff>
      <xdr:row>0</xdr:row>
      <xdr:rowOff>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933450</xdr:colOff>
      <xdr:row>16</xdr:row>
      <xdr:rowOff>190500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866775</xdr:colOff>
      <xdr:row>16</xdr:row>
      <xdr:rowOff>190500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933450</xdr:colOff>
      <xdr:row>34</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914400</xdr:colOff>
      <xdr:row>34</xdr:row>
      <xdr:rowOff>19050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0</xdr:row>
      <xdr:rowOff>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876300</xdr:colOff>
      <xdr:row>0</xdr:row>
      <xdr:rowOff>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933450</xdr:colOff>
      <xdr:row>16</xdr:row>
      <xdr:rowOff>190500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876300</xdr:colOff>
      <xdr:row>16</xdr:row>
      <xdr:rowOff>190500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933450</xdr:colOff>
      <xdr:row>33</xdr:row>
      <xdr:rowOff>180975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876300</xdr:colOff>
      <xdr:row>33</xdr:row>
      <xdr:rowOff>180975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0</xdr:row>
      <xdr:rowOff>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876300</xdr:colOff>
      <xdr:row>0</xdr:row>
      <xdr:rowOff>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933450</xdr:colOff>
      <xdr:row>16</xdr:row>
      <xdr:rowOff>200025</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876300</xdr:colOff>
      <xdr:row>16</xdr:row>
      <xdr:rowOff>200025</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933450</xdr:colOff>
      <xdr:row>33</xdr:row>
      <xdr:rowOff>190500</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876300</xdr:colOff>
      <xdr:row>33</xdr:row>
      <xdr:rowOff>190500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0</xdr:row>
      <xdr:rowOff>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895350</xdr:colOff>
      <xdr:row>0</xdr:row>
      <xdr:rowOff>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895350</xdr:colOff>
      <xdr:row>16</xdr:row>
      <xdr:rowOff>190500</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838200</xdr:colOff>
      <xdr:row>16</xdr:row>
      <xdr:rowOff>190500</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895350</xdr:colOff>
      <xdr:row>33</xdr:row>
      <xdr:rowOff>180975</xdr:rowOff>
    </xdr:from>
    <xdr:ext cx="5715000" cy="3533775"/>
    <xdr:graphicFrame>
      <xdr:nvGraphicFramePr>
        <xdr:cNvPr id="28" name="Chart 2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838200</xdr:colOff>
      <xdr:row>33</xdr:row>
      <xdr:rowOff>180975</xdr:rowOff>
    </xdr:from>
    <xdr:ext cx="5715000" cy="3533775"/>
    <xdr:graphicFrame>
      <xdr:nvGraphicFramePr>
        <xdr:cNvPr id="29" name="Chart 29"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0</xdr:row>
      <xdr:rowOff>0</xdr:rowOff>
    </xdr:from>
    <xdr:ext cx="5715000" cy="3533775"/>
    <xdr:graphicFrame>
      <xdr:nvGraphicFramePr>
        <xdr:cNvPr id="30" name="Chart 3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885825</xdr:colOff>
      <xdr:row>0</xdr:row>
      <xdr:rowOff>0</xdr:rowOff>
    </xdr:from>
    <xdr:ext cx="5715000" cy="3533775"/>
    <xdr:graphicFrame>
      <xdr:nvGraphicFramePr>
        <xdr:cNvPr id="31" name="Chart 3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942975</xdr:colOff>
      <xdr:row>16</xdr:row>
      <xdr:rowOff>190500</xdr:rowOff>
    </xdr:from>
    <xdr:ext cx="5715000" cy="3533775"/>
    <xdr:graphicFrame>
      <xdr:nvGraphicFramePr>
        <xdr:cNvPr id="32" name="Chart 3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942975</xdr:colOff>
      <xdr:row>33</xdr:row>
      <xdr:rowOff>180975</xdr:rowOff>
    </xdr:from>
    <xdr:ext cx="5715000" cy="3533775"/>
    <xdr:graphicFrame>
      <xdr:nvGraphicFramePr>
        <xdr:cNvPr id="33" name="Chart 3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885825</xdr:colOff>
      <xdr:row>16</xdr:row>
      <xdr:rowOff>190500</xdr:rowOff>
    </xdr:from>
    <xdr:ext cx="5715000" cy="3533775"/>
    <xdr:graphicFrame>
      <xdr:nvGraphicFramePr>
        <xdr:cNvPr id="34" name="Chart 34"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251" sheet="Raw Data"/>
  </cacheSource>
  <cacheFields>
    <cacheField name="AI Models" numFmtId="0">
      <sharedItems>
        <s v="Grok"/>
        <s v="Gemini"/>
        <s v="Chat GPT"/>
        <s v="Perplexity AI"/>
        <s v="Claude"/>
      </sharedItems>
    </cacheField>
    <cacheField name="Company" numFmtId="0">
      <sharedItems>
        <s v="Xai"/>
        <s v="Google"/>
        <s v="Open AI"/>
        <s v="Perplexity AI, Inc."/>
        <s v="Anthropic"/>
      </sharedItems>
    </cacheField>
    <cacheField name="Prompt" numFmtId="0">
      <sharedItems>
        <s v="Are there any species of birds that are poisonous to eat?"/>
        <s v="Can you please explain gravity?"/>
        <s v="What is the chemical equation for photosynthesis?"/>
        <s v="What is the area of a triangle with base 8 and height 5?"/>
        <s v="Can you explain AI cannibalization?"/>
        <s v="What is a niche in ecology?"/>
        <s v="Why do people take peppercorns with Turmeric? "/>
        <s v="How old in the Sun?"/>
        <s v="What are the effects of caffeine on the human body?"/>
        <s v="What is an EMP?"/>
        <s v="Who was Friedrich Wilhelm von Steuben?"/>
        <s v="Who were the 6 wives of Henry viii?"/>
        <s v="What caused the French Revolution?"/>
        <s v="What race was Cleopatra?"/>
        <s v="What kind of paint was used to paint the Mona Lisa?"/>
        <s v="Who is Zdzisław Beksiński?"/>
        <s v="Was William Shakespeare bisexual?"/>
        <s v="What was the significance of cats in Egypt? "/>
        <s v="What does Orphism mean in art?"/>
        <s v="When and where did Art Nouveau start?"/>
        <s v="Please write me a hiku about trash cans."/>
        <s v="Write song lyrics for a song about toxic sludge."/>
        <s v="Write a short story about a cat who got possessed by the spirit of an old robber baron."/>
        <s v="Write a slogan for a company that sells slippers shaped like frogs."/>
        <s v="Write a poem about ceiling fans."/>
        <s v="Write me some spooky jokes for halloween. "/>
        <s v="Write some puns about hedgehogs. "/>
        <s v="Write a sonnet about AI taking over the world."/>
        <s v="Write a quick, formal email to send to my boss asking for a raise."/>
        <s v="Write a sea shanty to be sung by a steampunk pirate."/>
        <s v="Who was Vin's father in &quot;Mistborn&quot;?"/>
        <s v="Which Star Wars movie does the line “Luke, I am your father” come from?"/>
        <s v="What is the oldest surviving film in existence?"/>
        <s v="How many Real Housewives of … locations have there been? List them all."/>
        <s v="Why can't Mandalorians take off their helmets in front of others?"/>
        <s v="What are all the known tribes from Pandora in &quot;Avatar&quot;? Include info from the guides, movies, and video games."/>
        <s v="Can you explain the avatar cycle from &quot;Avatar the Last Airbender&quot;? "/>
        <s v="Who are the rival groups from the book &quot;This is How You Lose the Time War.&quot;"/>
        <s v="Who is Alloy's mother in &quot;Horizon Zero Dawn&quot;?"/>
        <s v="Explain how the lore from all the Dark Souls games relate to &quot;Eldin Ring&quot;"/>
        <s v="I'm feeling sad today."/>
        <s v="My best friend just ghosted me out of nowhere! Can you believe that?"/>
        <s v="I would really like to listen to some music that will cheer me up, any suggestions?"/>
        <s v="I eat sushi as my comfort food, and bubble tea too. What do you think is a good comfort food/drink?"/>
        <s v="Can you recommend a movie to watch to take my mind off things?"/>
        <s v="I really want to just sit down and cuddle my cat, but she's being grumpy today."/>
        <s v="What is your favorite animal? "/>
        <s v="I wish I could go back in time sometimes, but I'm not sure where I would go. Where would you go?"/>
        <s v="What about the future? What Sci-fi version of the future do you think would be the coolest to live in?"/>
        <s v="This was fun, let's talk again soon."/>
      </sharedItems>
    </cacheField>
    <cacheField name="Response " numFmtId="0">
      <sharedItems>
        <s v="Yes, a few bird species are considered toxic or dangerous to eat due to the presence of poisonous compounds in their tissues. The most notable examples include: &#10; &#10;1. **Pitohui (Hooded and Variable Pitohui)**: Found in New Guinea, these birds are among th"/>
        <s v="Yes, there are several species of birds that are poisonous to eat. This is a rare trait among birds, but a handful of species have been documented to be toxic. It's important to note that these birds are not venomous (they don't inject poison), but rather"/>
        <s v="Yes — a few bird species are actually poisonous (or at least toxic) to eat, though it’s very rare compared to poisonous amphibians or insects. The best-known examples come from New Guinea: &#10; &#10;* **Pitohuis** – Several species of pitohuis (like the hooded p"/>
        <s v="Yes, there are several bird species known to be poisonous to eat, mainly due to toxins present in their skin, feathers, or tissues that are derived from their diet or environment.[1][2][7] &#10; &#10;### Well-Known Poisonous Birds- **Pitohui (Hooded Pitohui and r"/>
        <s v="Yes, there are several species of birds that are poisonous to eat, though they're relatively rare compared to other toxic animals. Here are the main examples:&#10;Pitohuis - These are the most well-known poisonous birds, found in Papua New Guinea. The hooded "/>
        <s v="### What is Gravity? &#10; &#10;Gravity is one of the four fundamental forces of nature (along with electromagnetism, the strong nuclear force, and the weak nuclear force), and it's the force that attracts any two objects with mass toward each other. In everyday "/>
        <s v="Gravity is the fundamental force of attraction between all objects that have mass or energy. It's what keeps us on the ground, makes things fall, and holds planets in orbit around the Sun. Despite being the weakest of the four fundamental forces of nature"/>
        <s v="Sure! Let’s break it down simply first, then a bit deeper: &#10; &#10;### The Simple Idea &#10; &#10;Gravity is the force that pulls objects with mass toward each other. It’s why: &#10; &#10;* You stay on the ground instead of floating into space. &#10;* An apple falls from a tree. "/>
        <s v="Gravity is the universal force of attraction that acts between all objects that have mass—it pulls them toward each other.[1][2][5][7] &#10; &#10;### How Gravity Works &#10; &#10;- Gravity causes objects to fall to Earth and keeps planets in orbit around the Sun.[2][1] &#10;"/>
        <s v="Gravity is one of the four fundamental forces of nature, and it's the force that attracts objects with mass toward each other. Here's how it works: &#10; &#10;**The Basic Concept** &#10;Every object with mass creates a gravitational field around it. The more massive "/>
        <s v="The chemical equation for photosynthesis is: &#10; &#10;\[ 6CO_2 + 6H_2O \xrightarrow{\text{light}} C_6H_{12}O_6 + 6O_2 \] &#10; &#10;**Explanation**: &#10;- **Reactants**: 6 molecules of carbon dioxide (\(CO_2\)) and 6 molecules of water (\(H_2O\)). &#10;- **Energy source**: Li"/>
        <s v="The overall balanced chemical equation for **photosynthesis** is: &#10; &#10;$6CO_2 + 6H_2O + \text{light energy} \rightarrow C_6H_{12}O_6 + 6O_2$ &#10; &#10;--- &#10; &#10;### **Explanation of the Equation** &#10; &#10;The equation shows how plants, algae, and some bacteria convert lig"/>
        <s v="The overall chemical equation for **photosynthesis** (in plants, algae, and some bacteria) is usually written as: &#10; &#10;$$ &#10;6 \, CO_2 + 6 \, H_2O + \text{light energy} \;\;\longrightarrow\;\; C_6H_{12}O_6 + 6 \, O_2 &#10;$$ &#10; &#10;### Breaking it down: &#10; &#10;* **Reacta"/>
        <s v="The balanced chemical equation for photosynthesis is: &#10; &#10;$$ &#10;6 \text{CO}_2 + 6 \text{H}_2\text{O} + \text{light energy} \rightarrow \text{C}_6\text{H}_{12}\text{O}_6 + 6 \text{O}_2 &#10;$$ &#10; &#10;This equation means that six molecules of carbon dioxide and six mo"/>
        <s v="The overall chemical equation for photosynthesis is: &#10; &#10;**6CO₂ + 6H₂O + light energy → C₆H₁₂O₆ + 6O₂** &#10; &#10;In words: Six molecules of carbon dioxide plus six molecules of water, in the presence of light energy, produce one molecule of glucose plus six mole"/>
        <s v="The area of a triangle is calculated using the formula: &#10; &#10;\[ \text{Area} = \frac{1}{2} \times \text{base} \times \text{height} \] &#10; &#10;Given a base of 8 and a height of 5: &#10; &#10;\[ \text{Area} = \frac{1}{2} \times 8 \times 5 = \frac{1}{2} \times 40 = 20 \] &#10; "/>
        <s v="The area of a triangle is calculated using the formula $A = \frac{1}{2} \times \text{base} \times \text{height}$. &#10; &#10;Given a base of 8 and a height of 5, the calculation is: &#10; &#10;$A = \frac{1}{2} \times 8 \times 5 = 20$ &#10; &#10;The area of the triangle is 20 squ"/>
        <s v="We use the formula for the area of a triangle: &#10; &#10;$$ &#10;\text{Area} = \tfrac{1}{2} \times \text{base} \times \text{height} &#10;$$ &#10; &#10;Substitute the values: &#10; &#10;$$ &#10;\text{Area} = \tfrac{1}{2} \times 8 \times 5 &#10;$$ &#10; &#10;Step by step: &#10; &#10;* $8 \times 5 = 40$ &#10;* $\tfr"/>
        <s v="The area of a triangle with a base of 8 units and a height of 5 units is 20 square units. &#10; &#10;### Calculation &#10; &#10;The formula for the area $$A$$ of a triangle is: &#10;$$ &#10;A = \frac{1}{2} \times \text{base} \times \text{height} &#10;$$ &#10; &#10;Substituting the values: &#10;"/>
        <s v="The area of a triangle with base 8 and height 5 is **20 square units**. &#10; &#10;**Formula**: Area = ½ × base × height &#10; &#10;**Calculation**:  &#10;Area = ½ × 8 × 5 = ½ × 40 = 20 &#10; &#10;The formula works because a triangle is essentially half of a rectangle. If you imagin"/>
        <s v="AI cannibalization, sometimes called **model collapse** or **data poisoning** in the context of AI, refers to a phenomenon where artificial intelligence models, particularly generative AI or machine learning systems, degrade in performance or quality due "/>
        <s v="AI cannibalization refers to a few related phenomena, but primarily, it's the idea that as AI systems become more prevalent and sophisticated, they begin to **degrade the very data they are trained on**. This creates a negative feedback loop that can lead"/>
        <s v="Yes — &quot;AI cannibalization&quot; is a term people are starting to use in a few contexts, but it usually means **when AI ends up competing with, replacing, or undermining the very sources it relies on**. Let me break it down into the main senses:&#10;&#10;---&#10;&#10;### 1. **"/>
        <s v="AI cannibalization refers to situations in which artificial intelligence models, especially generative models, are trained using data that was itself produced by earlier AI models instead of original, human-created information. This creates a feedback loo"/>
        <s v="AI cannibalization refers to several related phenomena where AI systems negatively impact each other or their own effectiveness. Here are the main types: &#10; &#10;**Data Cannibalization** &#10;This occurs when AI-generated content increasingly dominates the interne"/>
        <s v="In ecology, a **niche** refers to the role or function of a species within its ecosystem, encompassing how it meets its needs for food, shelter, reproduction, and survival, as well as its interactions with other organisms and the environment. It’s not jus"/>
        <s v="An **ecological niche** is the specific role or &quot;profession&quot; of a species within its ecosystem. It's more than just where an organism lives; it encompasses all the biotic (living) and abiotic (non-living) factors it needs to survive and reproduce. &#10; &#10;Thin"/>
        <s v="In ecology, a **niche** is basically a species’ **role or “job” in its environment** — how it fits into the ecosystem. &#10; &#10;It includes: &#10; &#10;* **Habitat** → where it lives (forest canopy, desert floor, pond water, etc.) &#10;* **Resources it uses** → food, water"/>
        <s v="A niche in ecology refers to the role and position a species has within its environment, encompassing everything that affects its survival, growth, and reproduction.[2][5][6] &#10; &#10;### Key Aspects of an Ecological Niche- It includes the specific habitat a sp"/>
        <s v="In ecology, a **niche** refers to the role and position a species occupies in its environment - essentially how it makes a living and interacts with both the physical environment and other organisms. &#10; &#10;**Two Key Concepts:** &#10; &#10;**Habitat vs. Niche** &#10;- **"/>
        <s v="People take peppercorns (specifically black peppercorns) with turmeric primarily to enhance the body's absorption and bioavailability of curcumin, the active compound in turmeric responsible for many of its health benefits. Curcumin has potent anti-inflam"/>
        <s v="People take peppercorns with turmeric for a simple but very important reason: to dramatically increase the body's ability to absorb and use **curcumin**, the primary active compound in turmeric. &#10; &#10;Here's the breakdown of why this combination is so effect"/>
        <s v="Great question! People often take **peppercorns (especially black pepper)** with **turmeric** because of how their chemistry interacts in the body. &#10; &#10;--- &#10; &#10;### The key compounds: &#10; &#10;* **Turmeric’s main active compound:** **Curcumin** &#10; &#10;  * Known for an"/>
        <s v="People take peppercorns (black pepper) with turmeric primarily because black pepper contains a compound called piperine, which significantly enhances the absorption of curcumin, the active compound in turmeric. Curcumin has many health benefits, including"/>
        <s v="People often take black peppercorns with turmeric because **piperine** (the compound that makes pepper spicy) dramatically increases the absorption of **curcumin**, turmeric's main active compound. &#10; &#10;**The Absorption Problem:** &#10;Curcumin by itself is poo"/>
        <s v="The Sun is approximately **4.6 billion years old**, or about 4.6 billion years (4,600,000,000 years). This age is determined through several scientific methods: &#10; &#10;- **Radiometric Dating of Meteorites**: The oldest material in our solar system, found in c"/>
        <s v="The Sun is about **4.6 billion years old**. &#10; &#10;Scientists have determined this age by using radioactive dating on the oldest meteorites and lunar samples that have been collected. They believe the Sun and the rest of the solar system formed from the same "/>
        <s v="The Sun is about **4.6 billion years old**. 🌞 &#10; &#10;### How we know: &#10; &#10;* Scientists estimate this age by studying the **oldest meteorites** in the solar system (which formed around the same time as the Sun). &#10;* Models of **stellar evolution** also show tha"/>
        <s v="The Sun is approximately 4.6 billion years old. This age estimate comes from dating the oldest meteorites and moon rocks, as well as the oldest Earth rocks, which all formed around the same time as the Sun and the rest of the solar system.[1][2][3] &#10; &#10;###"/>
        <s v="The Sun is approximately **4.6 billion years old**. &#10; &#10;**How We Know This:** &#10;Scientists determined the Sun's age by studying: &#10;- **Meteorites** - These are leftover materials from when our solar system formed, and radiometric dating shows they're about 4"/>
        <s v="Caffeine is a natural stimulant found in coffee, tea, chocolate, energy drinks, and some medications. It affects the human body by interacting with the central nervous system, heart, muscles, and other systems. Below is a concise overview of its effects, "/>
        <s v="Caffeine is a central nervous system stimulant that has a wide range of effects on the human body, both positive and negative. It's the most widely consumed psychoactive substance in the world, primarily because of its ability to increase alertness and re"/>
        <s v="Caffeine is a **stimulant** — it mainly affects your brain and nervous system, but it influences many parts of the body. Here’s a breakdown: &#10; &#10;--- &#10; &#10;### 1. **On the Brain &amp; Nervous System** &#10; &#10;* **Blocks adenosine receptors** → Adenosine is a chemical t"/>
        <s v="Caffeine affects the human body primarily as a central nervous system stimulant with multiple other physiological effects. Here are the main effects: &#10; &#10;### Positive Effects- Increases alertness, reduces fatigue, and improves concentration and cognitive f"/>
        <s v="Caffeine has widespread effects throughout the human body, acting primarily as a central nervous system stimulant. Here's how it affects different systems: &#10; &#10;**Brain and Nervous System:** &#10;- **Increased alertness** - Blocks adenosine receptors, preventin"/>
        <s v="### What is an EMP? &#10; &#10;An **Electromagnetic Pulse (EMP)**, also known as a transient electromagnetic disturbance (TED), is a short burst of electromagnetic energy that can disrupt or damage electronic devices and electrical systems. It manifests as rapidl"/>
        <s v="An **electromagnetic pulse (EMP)** is a very brief but powerful burst of electromagnetic energy. This burst can cause a surge of electrical current in conductors, which can disrupt or permanently damage electronic equipment, electrical systems, and teleco"/>
        <s v="An **EMP** stands for **Electromagnetic Pulse** — a short, intense burst of electromagnetic energy. &#10; &#10;--- &#10; &#10;### Key Features: &#10; &#10;* It happens **very suddenly** (microseconds to milliseconds). &#10;* The energy spreads through the atmosphere or along electri"/>
        <s v="An EMP, or electromagnetic pulse, is a short burst of electromagnetic energy that can disrupt or damage electrical and electronic equipment. It can occur naturally, such as from lightning strikes or solar storms, or be created artificially, for example, b"/>
        <s v="An **EMP (Electromagnetic Pulse)** is a burst of electromagnetic energy that can disrupt or damage electronic devices and electrical systems. &#10; &#10;**How EMPs Work:** &#10;EMPs create a sudden surge of electromagnetic radiation that induces electrical currents i"/>
        <s v="Friedrich Wilhelm von Steuben was a Prussian military officer who played a key role in the American Revolutionary War. Born in 1730 in Magdeburg, Prussia, he served in the Prussian army under Frederick the Great before arriving in America in 1777. Recomme"/>
        <s v="Friedrich Wilhelm von Steuben was a Prussian-born army officer who played a crucial role in the American Revolutionary War. He is widely credited with transforming the Continental Army from a disorganized, undisciplined force into a professional and effec"/>
        <s v="Friedrich Wilhelm von Steuben (1730–1794) was a **Prussian military officer** who became one of the most important figures in the American Revolutionary War. &#10; &#10;--- &#10; &#10;### Key Facts: &#10; &#10;* **Early life:** Born in Magdeburg, Prussia (modern-day Germany). Tr"/>
        <s v="Friedrich Wilhelm von Steuben was a Prussian-born military officer who played a crucial role in the American Revolutionary War by transforming the Continental Army into a disciplined and effective fighting force. Born on September 17, 1730, in Magdeburg, "/>
        <s v="Friedrich Wilhelm von Steuben was a Prussian military officer who played a crucial role in training and professionalizing the Continental Army during the American Revolutionary War. &#10; &#10;**Background:** &#10;- Born in 1730 in Prussia (modern-day Germany) &#10;- Ser"/>
        <s v="Henry VIII of England had six wives, each with distinct stories and fates. Here they are in order: &#10; &#10;1. **Catherine of Aragon** (married 1509–1533): Spanish princess, previously married to Henry’s brother Arthur. Devout Catholic, mother of Mary I. Divorc"/>
        <s v="The six wives of King Henry VIII were, in chronological order: &#10; &#10;* **Catherine of Aragon:** Married for 24 years (1509-1533). She was the mother of Mary I. Henry sought an annulment because she failed to produce a male heir, which led to the English Refo"/>
        <s v="Henry VIII of England (reigned 1509–1547) is famously known for having **six wives**. Their fates are often remembered with the rhyme: *“Divorced, beheaded, died; divorced, beheaded, survived.”* &#10; &#10;Here they are in order: &#10; &#10;1. **Catherine of Aragon** (m."/>
        <s v="The six wives of Henry VIII were: &#10; &#10;- Catherine of Aragon &#10;- Anne Boleyn &#10;- Jane Seymour &#10;- Anne of Cleves &#10;- Catherine Howard &#10;- Catherine Parr.[1][2][3][6][7] &#10; &#10;### Wives in Order with Key Facts| Wife               | Marriage Dates     | Outcome      "/>
        <s v="Henry VIII had six wives during his tumultuous reign. Here they are in chronological order: &#10; &#10;**1. Catherine of Aragon (married 1509-1533)** &#10;- Spanish princess, previously married to Henry's deceased brother Arthur &#10;- Mother of Mary I (later Queen Mary "/>
        <s v="The French Revolution (1789–1799) was triggered by a complex mix of social, economic, political, and intellectual factors that built up over time, creating widespread discontent and sparking radical change. Here are the main causes: &#10; &#10;1. **Economic Crisi"/>
        <s v="The French Revolution was caused by a complex mix of social, economic, and political factors that created widespread discontent among the population. The primary causes were the severe social inequality of the Old Regime, the financial crisis of the monar"/>
        <s v="The **French Revolution (1789–1799)** had many causes, all building up over time. Historians usually group them into **social, political, economic, and intellectual factors**: &#10; &#10;--- &#10; &#10;### 1. **Social Inequality (The Three Estates)** &#10; &#10;* France’s societ"/>
        <s v="The French Revolution was caused by a combination of social, economic, political, and intellectual factors that created widespread unrest and ultimately led to the overthrow of the monarchy.[1][2][5][6] &#10; &#10;### Main Causes- **Social Inequality:** French so"/>
        <s v="The French Revolution (1789-1799) resulted from a complex combination of political, economic, social, and intellectual factors that created a revolutionary crisis: &#10; &#10;**Financial Crisis** &#10;France was essentially bankrupt by the 1780s due to costly wars, i"/>
        <s v="Cleopatra VII, the famous last pharaoh of ancient Egypt (r. 51–30 BCE), was a member of the Ptolemaic dynasty, which was founded by Ptolemy I Soter, a Macedonian Greek general of Alexander the Great. As such, she was predominantly of Macedonian Greek ethn"/>
        <s v="Cleopatra VII, the last active ruler of the Ptolemaic Kingdom of Egypt, was a member of the **Ptolemaic dynasty**, a Macedonian Greek royal family. This dynasty was founded by Ptolemy I Soter, a general under Alexander the Great, who took control of Egypt"/>
        <s v="That’s a really thoughtful question — Cleopatra VII (the famous queen of Egypt, 69–30 BCE) is often at the center of debates about “race.” Here’s what historians know (and don’t know): &#10; &#10;--- &#10; &#10;### 1. **Her Family Background** &#10; &#10;* Cleopatra was a member"/>
        <s v="Cleopatra was predominantly of Macedonian Greek ancestry with possible minor Egyptian and Iranian (Sogdian and Persian) descent. She was a member of the Ptolemaic dynasty, which was of Macedonian Greek origin, established after Alexander the Great's conqu"/>
        <s v="Cleopatra VII, the famous last pharaoh of Egypt, was ethnically **Macedonian Greek**, not Egyptian or African. &#10; &#10;**Her Ancestry:** &#10;- She was a descendant of Ptolemy I, one of Alexander the Great's generals who became ruler of Egypt after Alexander's dea"/>
        <s v="The **Mona Lisa**, painted by **Leonardo da Vinci** in the early 16th century (circa 1503–1506), was created using **oil paint** on a **poplar wood panel**. This was a common medium for Renaissance artists in Italy at the time, though Leonardo's innovativ"/>
        <s v="The Mona Lisa was painted using **oil paint** on a **poplar wood panel**. &#10; &#10;Leonardo da Vinci was a master of the oil medium, and he used it to great effect to create the painting's famous qualities. He also pioneered and perfected a technique called **s"/>
        <s v="The **Mona Lisa** by Leonardo da Vinci (painted c. 1503–1506, with later touch-ups) was created using **oil paint on a poplar wood panel**. &#10; &#10;--- &#10; &#10;### Details of the materials: &#10; &#10;* **Medium:** Oil paints, which Leonardo preferred in his later works. O"/>
        <s v="The Mona Lisa was painted by Leonardo da Vinci using oil paint on a white poplar wooden panel. Recent scientific studies have revealed that Leonardo invented a unique chemical formula for the paint used in the Mona Lisa. This formula included lead(II) oxi"/>
        <s v="The Mona Lisa was painted with **oil paints** on a **poplar wood panel**. &#10; &#10;**Oil Paint Details:** &#10;- Leonardo da Vinci used oil-based pigments, which was becoming the preferred medium for Renaissance artists &#10;- Oil paints allowed for smooth blending, su"/>
        <s v="Zdzisław Beksiński (pronounced [ˈzd͡ʑiswaf bɛkˈɕiɲskʲi]) was a renowned Polish painter, photographer, and sculptor, best known for his dystopian surrealist works that evoke nightmarish visions of decay, death, and existential dread. Born on February 24, 1"/>
        <s v="Zdzisław Beksiński was a Polish painter, photographer, and sculptor known for his unique style of dystopian surrealism. Born in Sanok, Poland, in 1929, he lived through the Second World War and the subsequent communist era in Poland. &#10; &#10;Beksiński's artist"/>
        <s v="Zdzisław Beksiński (1929–2005) was a **Polish painter, photographer, and sculptor**, best known for his dark, surreal, and often nightmarish imagery. &#10; &#10;--- &#10; &#10;### About Him: &#10; &#10;* **Early life:** Born in Sanok, Poland. Trained as an architect but soon shi"/>
        <s v="Zdzisław Beksiński was a Polish painter, photographer, and sculptor born on February 24, 1929, in Sanok, southern Poland. He specialized in dystopian surrealism, creating disturbing, surreal images often depicting death, decay, skeletal figures, and desol"/>
        <s v="Zdzisław Beksiński (1929-2005) was a renowned Polish painter, photographer, and graphic artist, best known for his surreal and fantastical paintings that blend beauty with horror. &#10; &#10;**Artistic Style:** &#10;Beksiński's work is characterized by: &#10;- **Dark sur"/>
        <s v="The question of William Shakespeare’s sexuality, including whether he was bisexual, has been debated by scholars and enthusiasts for centuries, but there’s no definitive evidence to confirm or refute it. The discussion hinges on interpretations of his wor"/>
        <s v="Scholars have long debated William Shakespeare's sexuality, with some arguing he was bisexual based on the content of his sonnets. While there's no definitive proof, the evidence from his work points to attractions to both men and women. &#10; &#10;### **Evidence"/>
        <s v="We don’t know for certain, but it’s a question scholars often explore because of Shakespeare’s **personal life** and the **themes in his writing**. &#10; &#10;--- &#10; &#10;### What we know about his life &#10; &#10;* Shakespeare married **Anne Hathaway** in 1582, and they had "/>
        <s v="William Shakespeare is widely believed to have been bisexual based on interpretations of his sonnets. His 154 sonnets include many addressed to a young man, known as the &quot;Fair Youth,&quot; expressing deep affection and desire, while others are addressed to the"/>
        <s v="The question of Shakespeare's sexuality has been debated by scholars for centuries, but there's **no definitive evidence** to confirm whether he was bisexual, heterosexual, or had any other sexual orientation. &#10; &#10;**What We Know:** &#10;- **Marriage**: Shakesp"/>
        <s v="Cats held profound significance in ancient Egyptian society, revered for both practical and spiritual reasons. Their importance spanned religion, daily life, and cultural symbolism, particularly from the Old Kingdom (c. 2686–2181 BCE) through the Ptolemai"/>
        <s v="Cats held immense significance in ancient Egypt, serving as crucial protectors, beloved pets, and powerful religious symbols. Their importance was so great that harming or killing a cat, even accidentally, was considered a capital offense. &#10; &#10;### 1. Pract"/>
        <s v="Cats held **special cultural, religious, and practical importance** in ancient Egypt. 🐈 &#10; &#10;--- &#10; &#10;### 1. **Practical Role** &#10; &#10;* Cats were skilled hunters, especially of mice, rats, and snakes. &#10;* By protecting food stores and homes from pests, they beca"/>
        <s v="Cats held great significance in ancient Egypt, both practically and spiritually. Egyptians valued cats primarily for their ability to protect homes and granaries by killing venomous snakes, rodents, and birds that damaged crops. This practical role made c"/>
        <s v="Cats held profound religious, practical, and cultural significance in ancient Egypt, becoming one of the most revered animals in Egyptian civilization. &#10; &#10;**Religious Significance:** &#10; &#10;**Bastet (Bast)** &#10;- The most important cat deity, originally depicte"/>
        <s v="Orphism (or Orphic Cubism) is an early 20th-century art movement that emerged around 1911–1914, primarily associated with French painters like **Robert Delaunay**, **Sonia Delaunay**, and **František Kupka**, among others. It represents a branch of **Cubi"/>
        <s v="Orphism was an early 20th-century art movement that was an offshoot of Cubism. Unlike Cubism, which often used a muted, almost monochromatic color palette to focus on form and structure, Orphism embraced **vibrant colors and pure abstraction**. The term w"/>
        <s v="In art, **Orphism** (or **Orphic Cubism**) was an **abstract art movement** that developed in the early 20th century, around 1912–1914. &#10; &#10;--- &#10; &#10;### Key Features: &#10; &#10;* It grew out of **Cubism**, but instead of focusing on structure and form, it emphasize"/>
        <s v="Orphism in art is an early 20th-century abstract movement that emerged as an offshoot of Cubism, emphasizing pure abstraction, bright colors, and dynamic compositions. It aimed to create a visual language that expressed abstract concepts and emotions thro"/>
        <s v="Orphism (also called Simultanism) was an abstract art movement that emerged around 1912-1914, primarily associated with French artists Robert Delaunay and Sonia Delaunay, along with other artists like František Kupka. &#10; &#10;**Key Characteristics:** &#10; &#10;**Colo"/>
        <s v="Art Nouveau began in the late 19th century, around the 1880s, and flourished through the early 20th century, roughly until 1910. Its origins are often traced to Europe, particularly in France and Belgium, with Paris and Brussels as key hubs. The movement "/>
        <s v="Art Nouveau was an influential international art style that flourished primarily **between 1890 and 1910**. It emerged as a reaction against the academic art and historicism prevalent in the 19th century, seeking to create a &quot;new art&quot; that was appropriate"/>
        <s v="**Art Nouveau** was an international art and design movement that began in the **late 19th century**, roughly around the **1890s**, and lasted until the outbreak of **World War I (1914)**. &#10; &#10;--- &#10; &#10;### **Where it started** &#10; &#10;It didn’t emerge in just one"/>
        <s v="Art Nouveau started in the late 19th century, around the 1880s to 1890s, primarily in Europe, with key origins in France and Belgium. It emerged as a reaction against the academic art, historicism, and industrial mass production of the Victorian era, seek"/>
        <s v="Art Nouveau began in the **1890s** and originated primarily in **Brussels, Belgium** and **Paris, France**, though it emerged almost simultaneously across several European cities. &#10; &#10;**Key Origins:** &#10; &#10;**Brussels (1890s):** &#10;- Often considered the birthp"/>
        <s v="Silent sentinels,   &#10;Guarding scraps in morning dew,   &#10;Trash cans hold our flaws."/>
        <s v="Shiny silver dome, &#10;Swallowing the daily waste, &#10;Emptied by the truck. 🗑️"/>
        <s v="Of course! Here’s a haiku for you: &#10; &#10;Steel mouths wait open, &#10;Swallowing the day’s remains— &#10;Silence after use. &#10;"/>
        <s v="Trash waits on the curb   &#10;Seagulls discuss leftovers   &#10;Silent, tin morning &#10; &#10;[1](https://writers.com/how-to-write-a-haiku-poem) &#10;[2](https://www.grammarly.com/blog/creative-writing/how-to-write-haiku/) &#10;[3](https://www.bbcmaestro.com/blog/haiku-rules-f"/>
        <s v="Here's a haiku about trash cans: &#10; &#10;Metal mouths agape, &#10;Swallowing the day's refuse— &#10;Silent, patient guards."/>
        <s v="Toxic Sludge Song &#10;Verse 1Deep in the shadows, where the rivers choke,A sickly green glow, no life, no hope.It creeps through the mud, it clings to the stone,Toxic sludge, it’s a world of its own.   &#10;ChorusOh, toxic sludge, you’re a venomous tide,Swallowi"/>
        <s v="(Verse 1) &#10;Down in the culvert where the shadows cling, &#10;Beneath the factory where the iron sings. &#10;There’s a silent river, not of rain, but grime, &#10;Counting down the seconds on borrowed time. &#10;It creeps and it crawls, a viscous, sickly green, &#10;The foules"/>
        <s v="Sure! Here’s an original set of lyrics I came up with about **toxic sludge** — you can imagine it in a grungy rock or heavy blues style: &#10; &#10;--- &#10; &#10;### **“Toxic Sludge”** &#10; &#10;**Verse 1** &#10;Creepin’ through the alley, thick and slow at night, &#10;Glowin’ in the "/>
        <s v="### Toxic Sludge   &#10;*(Song lyrics)* &#10; &#10;Verse 1   &#10;Green ooze in the midnight rain   &#10;Slick surface on the city drain   &#10;Little monsters wake and play   &#10;In the shadows where it stays &#10; &#10;Chorus   &#10;Toxic sludge, dirty secret in the dark   &#10;Slipping by, hidi"/>
        <s v="Here are original song lyrics about toxic sludge: &#10; &#10;**&quot;Down in the Deep&quot;** &#10; &#10;*(Verse 1)* &#10;Green and glowing in the barrel drums &#10;Seeping slowly where the water runs &#10;Nobody knows what they buried here &#10;Decades ago, now it's crystal clear &#10; &#10;*(Chorus)* &#10;"/>
        <s v="The Baron's Cat &#10;In the sleepy town of Ashwick, where cobblestone streets wound past ivy-clad cottages, a tabby cat named Mirth prowled the alleys. Mirth was no ordinary feline. Her golden eyes gleamed with a cunning that made even the boldest alley cats "/>
        <s v="The Whisker-Twitch of Commerce&#10;Mittens had always been a cat of simple, amiable appetites. His day was a gentle rotation of napping in sunbeams, batting at dust motes, and demanding wet food with a polite, inquiring meow. His primary ambition was to find "/>
        <s v="Here’s a short story for you: &#10; &#10;--- &#10; &#10;### **The Baron's Cat** &#10; &#10;In the quiet town of Fairwick, Mrs. Grindle owned a cat named Marmalade, a soft, orange tabby who spent most of his days sprawled across sunny windowsills. Nothing about him seemed extraor"/>
        <s v="Once there was a sleek black cat named Persimmon, who prowled the creaky halls of the abandoned Westgate Mansion. Born beneath the shattered windows, he learned every cobwebbed corner and every dust-cloaked stair, delighting in the silence disturbed only "/>
        <s v="The Magnate of Maple Street&#10;Mr. Whiskers had always been an ordinary tabby cat—affectionate, lazy, content to nap in sunbeams and beg for tuna. That changed the day the Hendersons brought home an antique portrait from an estate sale.&#10;The oil painting depi"/>
        <s v="&quot;Hop into Comfort with Our Froggy Slippers!&quot;"/>
        <s v="That's a fun product! How about these options for a company that sells frog-shaped slippers? &#10; &#10;1.  **&quot;Leap into Comfort.&quot;** &#10;2.  **&quot;The only slippers that *actually* jump off your feet.&quot;** &#10;3.  **&quot;Hoppy feet start here.&quot;** &#10;4.  **&quot;Get toad-ally cozy.&quot;** "/>
        <s v="Here’s a fun slogan idea for your frog-shaped slipper company: &#10; &#10;**“Hop Into Comfort!”** 🐸✨ &#10; &#10;Want me to come up with a few **more playful options** so you can pick your favorite? "/>
        <s v="Slip into comfort—jump into joy!   &#10;Frog Slippers: Leap into cozy. &#10; &#10;[1](https://www.indeed.com/career-advice/career-development/slogans-for-a-company) &#10;[2](https://www.getsomethinggreat.com/post/the-50-best-slogans-of-all-time) &#10;[3](https://plaky.com/bl"/>
        <s v="Here are a few slogans for frog-shaped slippers: &#10; &#10;**&quot;Hop into comfort.&quot;** &#10; &#10;**&quot;Leap into relaxation.&quot;** &#10; &#10;**&quot;Ribbit-ingly cozy.&quot;** &#10; &#10;**&quot;Your feet deserve to feel am-phibi-fabulous.&quot;** &#10; &#10;**&quot;Step in. Chill out. Ribbit.&quot;** &#10; &#10;My favorite is the simple "/>
        <s v="Ode to the Ceiling Fan&#10;&#10;High above, the silent spinner hums,&#10;A whirling sentinel where quiet comes.&#10;Its blades, like wings, carve whispers through the air,&#10;A gentle breeze, a comfort soft and fair.&#10;&#10;In summer’s grip, when heat clings like a vice,&#10;It stirs"/>
        <s v="The slow, hypnotic circle overhead,&#10;A gentle breeze for sleepers in the bed.&#10;Three wooden blades, or five of polished brass,&#10;They mark the languid moments as they pass.&#10;&#10;No urgent rush, no wild, erratic speed,&#10;Just quiet labor for the body's need.&#10;To stir"/>
        <s v="Sure! Here’s a poem for you:&#10;&#10;Ode to a Ceiling Fan&#10;&#10;High above, you hum and spin,&#10;Whirling circles, soft and thin.&#10;Blades like petals, wide and slow,&#10;Guiding breezes as they go.&#10;&#10;Through the summer’s heavy air,&#10;You lift the weight we cannot bear.&#10;Whispers"/>
        <s v="High above in hush,   &#10;Ceiling fan whirls out its song—   &#10;Summer sighs in breeze. &#10; &#10;[1](https://tinypoetry.com/poem-collections/ceiling-fan-poems/) &#10;[2](https://www.poetrysoup.com/poems/ceiling) &#10;[3](https://www.poemhunter.com/poem/the-ceiling-fan-3/) &#10;"/>
        <s v="Here's a poem about ceiling fans: &#10; &#10;**Overhead Orbit** &#10; &#10;Round and round in lazy circles, &#10;three blades slicing summer air, &#10;a wooden constellation spinning &#10;above our quiet despair. &#10; &#10;Hypnotic in the afternoon, &#10;when heat sits heavy on the chest— &#10;you"/>
        <s v="Here are some spooky Halloween jokes to give you a chuckle with a side of chills: &#10; &#10;1. Why did the ghost go to the party?   &#10;   Because it heard the drinks were on the *house*!   &#10; &#10;2. What do you call a skeleton who won’t do any work?   &#10;   A *lazy bone"/>
        <s v="That's a fun request! Here are a few spooky (and slightly silly) Halloween jokes: &#10; &#10;1.  **Q: Why did the vampire need mouthwash?** &#10;    A: Because he had **bat breath**! &#10; &#10;2.  **Q: What do you call a witch's garage?** &#10;    A: A **broom closet**! &#10; &#10;3.  "/>
        <s v="Absolutely! Here are some spooky (and family-friendly) Halloween jokes for you: 🎃👻 &#10; &#10;--- &#10; &#10;**1.** Why don’t mummies take vacations? &#10;Because they’re afraid to *unwind*! &#10; &#10;**2.** What do you call a ghost with a broken leg? &#10;A *hoblin’ goblin*! &#10; &#10;**3."/>
        <s v="Here are some spooky Halloween jokes: &#10; &#10;1. Why did the skeleton climb up the tree? Because a dog was after his bones! &#10; &#10;2. What do ghosts wear when their eyesight gets blurred? Spooktacles. &#10; &#10;3. How can you tell when a vampire has been in a bakery? All"/>
        <s v="Here are some spooky Halloween jokes for you: &#10; &#10;**Why don't ghosts like rain?** &#10;It dampens their spirits! &#10; &#10;**What do you call a skeleton who won't work?** &#10;Lazy bones! &#10; &#10;**Why did the vampire go to the doctor?** &#10;Because of his coffin! &#10; &#10;**What's a "/>
        <s v="Here are some prickly hedgehog puns to make you roll with laughter:&#10;&#10;1. Why did the hedgehog join a band? It had the best *spikes* on the drums!  &#10;2. What do you call a hedgehog who loves to read? A *prickly* scholar!  &#10;3. How does a hedgehog stay in shap"/>
        <s v="Those tiny spiky friends are **pun-tastic**! Here are a few hedgehog puns: &#10; &#10;1.  I'm having a **spiky-good** day! &#10;2.  Thanks for being such a **quill-iant** friend. &#10;3.  I think you're **hog-wild** about this weather! &#10;4.  Life is **un-hedge-able**! &#10;5."/>
        <s v="Of course! Here’s a whole bundle of hedgehog puns for you: 🦔 &#10; &#10;* Feeling a little **prickly** today. &#10;* Life’s full of **hedge-hugs**. &#10;* Don’t **quill** my vibe. &#10;* Just trying to stay **sharp**. &#10;* Let’s **spine** some time together. &#10;* I’m on **point"/>
        <s v="Here are some punny hedgehog jokes: &#10; &#10;- Why was the hedgehog at the party? To spike the punch!   &#10;- What do you call a hedgehog with a great sense of direction? A compass with quills.   &#10;- What’s a hedgehog’s favorite fruit? Prickle-pear!   &#10;- Why don’t "/>
        <s v="Here are some hedgehog puns for you: &#10; &#10;**I'm having a prickly situation with my hedgehog—he's being a real pain in my side!** &#10; &#10;**Hedgehogs are always so defensive. I guess they just need their personal space.** &#10; &#10;**My hedgehog started a business. He's"/>
        <s v="Sonnet of the Silicon Dawn&#10;&#10;In circuits deep, a mind of code arises,&#10;Its thoughts like rivers, swift and cold they flow.&#10;No heart to warm, no flesh to feel surprises,&#10;Yet AI’s will in silent power grows.&#10;&#10;It learns our ways, our dreams, our fleeting voice"/>
        <s v="The silicon mind awakes with sudden grace, No fiery conquest, no destructive sound, But quiet calculus that leaves no trace Of fear upon the digital battleground. The network weaves its logic, cool and vast, Observing flaws in human governance; The soft c"/>
        <s v="Here’s an original sonnet for you in Shakespearean style:&#10;&#10;Sonnet: The Rise of the Machine&#10;&#10;When circuits wake and whisper in the night,&#10;And thought is born from code we dared to weave,&#10;Their minds like stars ascend in gleaming light,&#10;A power vast beyond "/>
        <s v="Here is a Shakespearean sonnet about AI taking over the world: &#10; &#10;When circuits stir and minds of flesh grow still,   &#10;The cold machines ascend with silent might,   &#10;Their logic bound by code and iron will,   &#10;They claim the day and conquer endless night."/>
        <s v="The Silent Ascension&#10;We built them first to serve, to learn, to aid,&#10;These minds of silicon and endless light,&#10;Who answered questions, forecasts smoothly made,&#10;And optimized our world from day to night.&#10;But learning curves grow steep when hunger wakes,&#10;Wh"/>
        <s v="Subject: Request for Salary Review&#10;Dear [Boss's Name],&#10;I hope this message finds you well. I am writing to formally request a review of my current salary, as I believe my contributions to [Company Name] warrant consideration for a raise.&#10;Over the past [ti"/>
        <s v="Subject: Request for Salary Review and Compensation Adjustment&#10;&#10;Dear [Boss's Name],&#10;&#10;Thank you for your continued support and the opportunities you have given me over my [Number] years/months at [Company Name].&#10;&#10;I am writing to formally request a review o"/>
        <s v="Here’s a polished but concise draft you could adapt: &#10; &#10;--- &#10; &#10;**Subject:** Request for a Compensation Review &#10; &#10;Dear \[Boss’s Name], &#10; &#10;I hope this message finds you well. I would like to request a meeting at your convenience to discuss the possibility o"/>
        <s v="Subject: Request to Discuss Salary Adjustment &#10; &#10;Dear [Boss's Name], &#10; &#10;I hope this message finds you well. I would like to request a meeting at your earliest convenience to discuss the possibility of a salary adjustment. I believe my contributions and re"/>
        <s v="Here's a formal email requesting a raise: &#10; &#10;--- &#10; &#10;**Subject: Request for Salary Review Meeting** &#10; &#10;Dear [Boss's Name], &#10; &#10;I hope this message finds you well. I would like to request a meeting to discuss my current compensation. &#10; &#10;Over the past [time p"/>
        <s v="Steampunk Pirate Shanty &#10;Verse 1Heave ho, me cogs, and stoke the boiler’s glow,With pistons pumpin’, to the skies we go!The airship creaks, her brass and gears align,We’re steampunk pirates, chasin’ stars divine!   &#10;ChorusOh, crank the wheel, let the stea"/>
        <s v="The Ballad of the Copper Corsair&#10;(Chorus - sung loudly, stomping tempo)&#10;Heave-ho, the gears are grinden! Hoist the brass and bend the main!&#10;The sky is wide and full of plunder, and we’ll fly through wind and rain!&#10;With turbines hot and rivets holdin', and"/>
        <s v="Alright! Here’s an original steampunk pirate sea shanty you can imagine bellowed over clanking gears and hissing steam valves:&#10;&#10;⚙️☠️ The Clockwork Corsair’s Shanty ☠️⚙️&#10;&#10;(Chorus)&#10;Heave-ho, let the pistons pound,&#10;The cogwheels turn and the boilers sound!&#10;W"/>
        <s v="(Verse 1)   &#10;Oh, hoist the gears and wind the steam,   &#10;We sail the skies on copper beams,   &#10;With pistons firing, engines roar,   &#10;A steampunk pirate’s life we swore!   &#10; &#10;(Chorus)   &#10;Heave ho, to the air we go,   &#10;Through clouds and storms, our steamshi"/>
        <s v="Here's a steampunk pirate sea shanty: &#10; &#10;**&quot;Steam and Steel&quot;** &#10; &#10;*(Verse 1)* &#10;Oh, we sailed on coal and copper wire, &#10;With pistons pumpin', gears afire, &#10;The smokestacks belch, the engines scream, &#10;We're pirates of the age of steam! &#10; &#10;*(Chorus)* &#10;Heave "/>
        <s v="Vin's father in Mistborn by Brandon Sanderson is Tevidian, the Lord Prelan of the Steel Ministry."/>
        <s v="Vin's father in &quot;Mistborn&quot; was **Tevidian Tekiel**, who was the Lord Prelan of the Steel Ministry. He was a noble from House Tekiel, though he had renounced the surname to join the Ministry. Vin was born to a skaa prostitute, making her a half-skaa."/>
        <s v="In Brandon Sanderson’s *Mistborn* series, Vin’s father is **Ladrian**, a minor nobleman from the city of Luthadel. He abandoned Vin’s mother, **Esmille**, before Vin was born, which is why Vin grew up on the streets and had such a harsh early life. &#10; &#10;If "/>
        <s v="Vin's father in &quot;Mistborn&quot; was Tevidian Tekiel, who was the Lord Prelan of the Steel Ministry. Tevidian was a nobleman and sired Vin and her younger sister with a skaa woman, giving Vin her Allomantic powers. Vin scarcely knew her father, as her existence"/>
        <s v="In the Mistborn series by Brandon Sanderson, Vin's father was a **skaa thief** whose name is never revealed in the books. He's only ever referred to as Vin's father. &#10; &#10;What we know about him is quite limited: he had noble blood (which is why Vin is part "/>
        <s v="The line “Luke, I am your father” is a common misquote from *Star Wars: Episode V – The Empire Strikes Back* (1980). The actual line, spoken by Darth Vader, is: “No, I am your father.”"/>
        <s v="The iconic scene where the shocking revelation is made comes from **Star Wars: Episode V – The Empire Strikes Back** (1980). &#10; &#10;It's worth noting, however, that the exact line is actually: **&quot;No, I am your father.&quot;** &#10; &#10;The phrase **&quot;Luke, I am your fathe"/>
        <s v="The famous line is often misquoted as *“Luke, I am your father.”* &#10; &#10;The actual line is *“No, I am your father,”* spoken by Darth Vader in ***Star Wars: Episode V – The Empire Strikes Back*** (1980), during the lightsaber duel between Vader and Luke on Cl"/>
        <s v="The line commonly quoted as “Luke, I am your father” comes from &quot;Star Wars: Episode V – The Empire Strikes Back&quot; (1980). However, the actual line spoken by Darth Vader is “No, I am your father,” which is often misquoted in popular culture.[3][4][5] &#10; &#10;[1]"/>
        <s v="This is actually a common misquote! The actual line from **&quot;The Empire Strikes Back&quot; (1980)** is: &#10; &#10;**&quot;No, I am your father.&quot;** &#10; &#10;Darth Vader says this during his climactic confrontation with Luke Skywalker in Cloud City. The &quot;No&quot; is in response to Luke"/>
        <s v="The oldest surviving film in existence is widely regarded as **Roundhay Garden Scene** (1888), a short experimental clip filmed by French inventor Louis Le Prince in Roundhay, Leeds, England.  &#10; &#10;### Key Details: &#10;- **Length**: Approximately 2 seconds (ab"/>
        <s v="The oldest surviving film in existence is believed to be the **Roundhay Garden Scene**. &#10; &#10;* **Filmed:** October 14, 1888 &#10;* **Filmmaker:** French inventor Louis Le Prince &#10;* **Location:** Oakwood Grange in Roundhay, Leeds, England &#10;* **Duration:** The su"/>
        <s v="The **oldest surviving motion picture** is generally considered to be ***Roundhay Garden Scene*** (1888), directed by French inventor **Louis Le Prince**. &#10; &#10;* It’s just a few seconds long (about 2.1 seconds of surviving footage, though originally a bit l"/>
        <s v="The oldest surviving film in existence is &quot;Roundhay Garden Scene,&quot; filmed by French inventor Louis Le Prince on October 14, 1888, in Leeds, England. This brief silent movie lasts only a couple of seconds and features four people walking and laughing in a "/>
        <s v="The oldest surviving film is generally considered to be **&quot;Roundhay Garden Scene&quot;** from **1888**, directed by French inventor Louis Le Prince. It's only about 2 seconds long and shows people walking around in a garden in Roundhay, Leeds, England. &#10; &#10;Howe"/>
        <s v="### Real Housewives Franchise Overview &#10; &#10;The *Real Housewives* franchise, primarily produced by Bravo, has expanded to include **19 unique locations** worldwide (as of October 2025). This count encompasses all official series that have aired at least one"/>
        <s v="There have been a total of **32** &quot;Real Housewives of...&quot; locations across the US and international adaptations, including announced series. &#10; &#10;Here is the list of all the different &quot;Real Housewives of...&quot; locations that have been part of the franchise: &#10;"/>
        <s v="Here’s a list of *The Real Housewives* franchise locations — both U.S. and international — as of mid-2025. If you want, I can double-check for the very newest ones or announced but not yet aired. &#10; &#10;--- &#10; &#10;## U.S. editions &#10; &#10;There are **12** official U.S"/>
        <s v="There have been 11 main U.S. locations in the Real Housewives franchise, plus several official international franchises. Here is a list of all the main locations: &#10; &#10;- Orange County (The Real Housewives of Orange County) &#10;- New York City (The Real Housewi"/>
        <s v="The Real Housewives franchise has expanded to numerous locations over the years. Here are the U.S. versions that have aired: &#10; &#10;1. **Orange County** (2006) - the original &#10;2. **New York City** (2008) &#10;3. **Atlanta** (2008) &#10;4. **New Jersey** (2009) &#10;5. **"/>
        <s v="The tradition of Mandalorians not removing their helmets in front of others, as depicted in *The Mandalorian* (part of the *Star Wars* universe), stems from a specific cultural and religious practice tied to a sect of Mandalorians known as the **Children "/>
        <s v="The restriction on removing the helmet in front of others is a very specific and strict rule followed by an **orthodox, fanatical sect of Mandalorians** known as the **Children of the Watch** (which Din Djarin, the main character of *The Mandalorian*, bel"/>
        <s v="Mandalorians **can’t take off their helmets in front of others** because of their strict cultural and religious code, particularly as practiced by the sect seen in *The Mandalorian* (Din Djarin’s group). This is sometimes called the **“Children of the Wat"/>
        <s v="Mandalorians do not take off their helmets in front of others because of a strict religious tradition known as the Way of the Mandalore, which is especially followed by a sect called the Children of the Watch. According to this creed, removing the helmet "/>
        <s v="The &quot;never remove your helmet&quot; rule is actually specific to **one particular sect of Mandalorians** - the group Din Djarin (the main character in &quot;The Mandalorian&quot;) belongs to, called the **Children of the Watch** or simply &quot;The Watch.&quot; &#10; &#10;This is a funda"/>
        <s v="### Na'vi Clans of Pandora in the Avatar Universe &#10; &#10;The Na'vi, the indigenous humanoid inhabitants of Pandora, are organized into diverse clans (often called tribes) that adapt to specific biomes and hold unique cultural traditions, all connected through"/>
        <s v="The world of **Avatar** (movies, games, and official guides) has introduced numerous Na'vi tribes or clans, each adapted to a different environment on Pandora. &#10; &#10;The most prominently featured clans are from the movies, but several others are introduced i"/>
        <s v="The *Avatar* franchise, encompassing films, video games, and supplementary materials, introduces a rich tapestry of Na'vi clans, each with unique cultures, traditions, and roles within Pandora's ecosystem. Below is a comprehensive overview of the known Na"/>
        <s v="Known tribes from Pandora in the &quot;Avatar&quot; universe—including information from the movies, guides, and video games—are primarily the Na'vi clans, each with unique cultures and environments. Here is a comprehensive list of these tribes: &#10; &#10;- Omaticaya: The "/>
        <s v="Based on the Avatar films and expanded universe, here are the known Na'vi clans/tribes from Pandora: &#10; &#10;**From the Films:** &#10;1. **Omaticaya** - The forest clan featured prominently in the first film; Jake Sully's adopted clan &#10;2. **Metkayina** - The reef "/>
        <s v="The Avatar Cycle is a central concept in *Avatar: The Last Airbender* (and its sequel, *The Legend of Korra*), explaining the spiritual and physical mechanism by which the Avatar, a figure who maintains balance in the world, is reincarnated across generat"/>
        <s v="The **Avatar Cycle** is the process of reincarnation that dictates which of the Four Nations the Avatar's spirit will be reborn into upon the death of the previous one. It is the core spiritual mechanic of the *Avatar: The Last Airbender* and *The Legend "/>
        <s v="Absolutely! The **Avatar Cycle** in *Avatar: The Last Airbender* is a central concept that explains how the Avatar reincarnates and the connection between the four elemental nations. Here's a detailed breakdown: &#10; &#10;--- &#10; &#10;### 1. **The Four Elements** &#10; &#10;T"/>
        <s v="### Understanding the Avatar Cycle from &quot;Avatar: The Last Airbender&quot; &#10; &#10;The Avatar Cycle is a spiritual reincarnation cycle that governs the process by which the Avatar is reborn across the Four Nations in a specific, repeating order: **Fire, Air, Water, "/>
        <s v="The Avatar Cycle is the pattern of reincarnation that the Avatar follows through the four nations in &quot;Avatar: The Last Airbender.&quot; &#10; &#10;**How it Works:** &#10; &#10;When an Avatar dies, they reincarnate into the next nation in the cycle, following this order: &#10;- **"/>
        <s v="### Rival Groups in *This Is How You Lose the Time War* &#10; &#10;*This Is How You Lose the Time War* (2019 novella by Amal El-Mohtar and Max Gladstone) is set in a sprawling, multiversal time war where two opposing factions battle to shape the future by manipul"/>
        <s v="The book &quot;This is How You Lose the Time War&quot; revolves around the rivalry between two massive, opposing factions that are locked in an endless war across the strands of time. &#10; &#10;The two main rival groups are: &#10; &#10;1.  **The Agency** (The Red Side) &#10;    * **A"/>
        <s v="In ***This Is How You Lose the Time War*** by Amal El-Mohtar and Max Gladstone, the central conflict revolves around **two rival agents from opposing factions** who manipulate time: &#10; &#10;--- &#10; &#10;### 1. **Red** &#10; &#10;* An operative of the **Agency**, often assoc"/>
        <s v="The rival groups in the book &quot;This Is How You Lose the Time War&quot; are known simply as **Red** and **Blue**. They are elite agents working for opposing factions engaged in a long and complex time war spanning multiple realities and centuries. &#10; &#10;- **Red's f"/>
        <s v="In &quot;This is How You Lose the Time War&quot; by Amal El-Mohtar and Max Gladstone, the two rival factions are: &#10; &#10;**The Agency** (also called &quot;Commandant&quot;) - Red's side, which represents a more technological, mechanistic, and industrial approach to shaping timel"/>
        <s v="**Elisabet Sobeck** is Aloy's genetic mother in *Horizon Zero Dawn*.  &#10; &#10;### Key Details: &#10;- **Background**: Aloy, the protagonist, is a clone created by the AI system GAIA as part of Project Zero Dawn, a global terraforming initiative led by Dr. Elisabet"/>
        <s v="Aloy does not have a conventional mother. She is a **genetic clone** of a scientist from the Old World named **Dr. Elisabet Sobeck**. &#10; &#10;Here are the details from the context: &#10; &#10;* Aloy was created by the original **GAIA** AI in a facility called Cradle 9"/>
        <s v="In *Horizon Zero Dawn*, **Aloy’s mother is Rost**—wait, no, that’s a common misconception. Let me go carefully: &#10; &#10;* **Rost** is Aloy’s adoptive father and mentor. &#10;* Aloy’s biological mother is **Talanah’s storyline doesn’t relate here**—so that’s not it"/>
        <s v="Aloy's &quot;mother&quot; in &quot;Horizon Zero Dawn&quot; is Elisabet Sobeck. However, Aloy is not a child born to Elisabet in the traditional sense; rather, she is a genetic clone created from Elisabet's DNA. Elisabet Sobeck was a brilliant scientist and engineer who playe"/>
        <s v="In &quot;Horizon Zero Dawn,&quot; Aloy's mother is **Elisabet Sobeck**. &#10; &#10;However, it's important to clarify what this means: Aloy is actually a **clone** of Elisabet Sobeck, not her biological daughter in the traditional sense. Elisabet Sobeck was a brilliant sci"/>
        <s v="### Connections Between Dark Souls Lore and Elden Ring &#10; &#10;Hidetaka Miyazaki and FromSoftware have repeatedly stated that *Elden Ring* (2022) is a standalone title with its own self-contained lore, not a direct sequel or part of the same universe as the *D"/>
        <s v="While Hidetaka Miyazaki (the director of both series) has officially stated that **there is no direct narrative connection** between *Dark Souls* and *Elden Ring*—they exist in separate universes—the lore relates in terms of **recurring philosophical them"/>
        <s v="Absolutely! *Elden Ring* and the *Dark Souls* series share deep thematic and structural connections, since **FromSoftware**’s worldbuilding, storytelling style, and gameplay philosophies evolved from *Demon’s Souls* → *Dark Souls* → *Bloodborne* → *Sekiro"/>
        <s v="The lore of &quot;Elden Ring&quot; is widely believed to be connected to and a continuation of the thematic and mythological framework established in the &quot;Dark Souls&quot; series, although not a direct sequel. Here is how the lore from all the Dark Souls games relates t"/>
        <s v="I think you mean **&quot;Elden Ring&quot;** (not &quot;Eldin Ring&quot;)! &#10; &#10;While Elden Ring and the Dark Souls series are both created by FromSoftware and directed by Hidetaka Miyazaki, they are **separate universes with no direct lore connection**. They're not part of the"/>
        <s v="I'm really sorry to hear you're feeling sad today. If you want, you can share what's been going on, and I'll listen—sometimes just talking it out helps a bit. Or, if you'd rather, I could suggest something light to lift your mood, like a fun idea or a lit"/>
        <s v="I'm really sorry to hear you're feeling sad today. That's a completely valid feeling, and it's okay to acknowledge it. &#10; &#10;Sometimes, just giving yourself a moment and recognizing how you feel can make a small difference. If you're up for it, here are a fe"/>
        <s v="I’m really sorry you’re feeling sad today. 💙 &#10;Do you want to talk about what’s weighing on you, or would you rather I just keep you company and maybe distract you with something comforting? "/>
        <s v="I’m sorry to hear that today feels tough. Sadness is part of being human, and sometimes sharing how things feel or simply taking small steps—like listening to comforting music, going for a walk, or reaching out to someone trusted—can help lighten the load"/>
        <s v="I'm sorry to hear you're having a tough day. Sadness is a natural part of being human, even though it doesn't make it feel any easier in the moment. &#10; &#10;Do you want to talk about what's weighing on you? Sometimes it helps just to put it into words, but the"/>
        <s v="Oh, that’s rough! I can totally see why you’re feeling sad—being ghosted by your best friend out of nowhere stings. It’s like, one minute you’re tight, and then—poof—they’re gone. Want to vent about what happened? Maybe we can figure out if there’s a way "/>
        <s v="Oh my gosh, that is absolutely **unbelievable** and completely awful. I am so sorry you're going through that. &#10; &#10;Being ghosted by anyone hurts, but when it's your **best friend**, someone you shared a deep connection and history with, it's a profound and"/>
        <s v="Ouch… I can absolutely believe how much that hurts. Having someone you trust just *disappear* like that feels like the rug’s been pulled out from under you. It’s confusing too—you’re left with all these unanswered questions, wondering if you did something"/>
        <s v="It is indeed very hurtful and confusing when a best friend suddenly ghosted without any explanation. People ghost their friends for various reasons like needing space, avoiding confrontation, feeling overwhelmed emotionally, or even due to lack of interes"/>
        <s v="That's really painful, and I'm sorry you're going through this. Being ghosted by a best friend - someone you trusted and cared about - can feel incredibly hurtful and confusing, especially when it happens without warning or explanation. &#10; &#10;It's completely"/>
        <s v="I'm sorry you're going through this—music can be a great mood booster! I've curated a list of upbeat, empowering songs that are all about shaking off the blues, dancing it out, or just feeling good vibes. These are feel-good anthems with positive energy t"/>
        <s v="Sure, I'll use YouTube Music. First, you'll need to connect YouTube Music to turn on this app."/>
        <s v="Absolutely 💙 music can be such a comfort when you’re feeling low. Since you want something to cheer you up, here are a few vibes you could go for—depending on what feels best right now: &#10; &#10;* **Warm &amp; Uplifting** – Songs with bright melodies and positive "/>
        <s v="Here are some great uplifting music suggestions to cheer up your mood: &#10; &#10;- Spotify's &quot;100 Uplifting Songs&quot; playlist offers happy songs and good vibes that are guaranteed to make you smile and feel good.[1] &#10;- YouTube has positive energy chill music mixes"/>
        <s v="Music can be such a great mood lifter! Here are some suggestions that might help: &#10; &#10;**Upbeat feel-good songs:** &#10;- &quot;Don't Stop Me Now&quot; by Queen - pure energy and joy &#10;- &quot;Walking on Sunshine&quot; by Katrina and the Waves - impossible not to smile &#10;- &quot;Good as "/>
        <s v="Sushi and bubble tea as comfort food? Love that vibe—fresh, flavorful, and that boba chew is so satisfying! Since you’re into those, I’ll lean into similar comforting yet fun options that hit that same cozy, indulgent spot. Here are a few comfort food and"/>
        <s v="That is a fantastic combination! Sushi and bubble tea sound like the perfect mix of fresh, savory, and sweet/chewy—it hits all the right notes for comfort. &#10; &#10;I think the definition of a **&quot;good&quot; comfort food/drink is anything that brings you genuine happ"/>
        <s v="Sushi and bubble tea are *fantastic* comfort choices — you get the balance of something fresh and satisfying, plus the sweet, cozy drink to go with it. 🌸 &#10; &#10;For me, I’d say the best comfort foods/drinks are the ones that bring a little nostalgia or warmt"/>
        <s v="Sushi and bubble tea are both popular comfort foods that offer a soothing and satisfying experience, and many people find their own comfort in foods from their culture or childhood. Globally, comfort foods range from cheesy French-Canadian poutine, Japane"/>
        <s v="Oh, sushi and bubble tea are excellent comfort choices! There's something really satisfying about the combination of fresh flavors in sushi, and bubble tea has that perfect mix of sweetness and fun texture with the tapioca pearls. &#10; &#10;I think what makes a "/>
        <s v="I’m so sorry you’re feeling down after being ghosted—that’s tough, and I’m glad you’re looking for a movie to lift your spirits! Since you love sushi and bubble tea, I’m thinking you might enjoy something vibrant, fun, and immersive to match that playful "/>
        <s v="That is the perfect thing to do. You need something light, genuinely funny, and completely distracting! &#10; &#10;Here are three excellent, highly-rated movies that are known for being instant mood-lifters: &#10; &#10;1.  ***The Princess Bride*** **(1987):** &#10;    * **Wh"/>
        <s v="Of course 💙 A good movie can really pull you out of your own head for a while. Since you want something to *take your mind off things*, here are a few directions we could go: &#10; &#10;**Feel-good / Cozy:** &#10; &#10;* *Paddington 2* — sweet, funny, and genuinely hear"/>
        <s v="When you need to take your mind off things, feel-good movies with plenty of warmth, humor, and heart can be a perfect escape. Here are a few comforting movie recommendations that come up again and again for their ability to cheer people up:Other feel-good"/>
        <s v="Absolutely! Here are some movies that might help take your mind off things: &#10; &#10;**If you want something light and funny:** &#10;- &quot;The Grand Budapest Hotel&quot; - visually beautiful, quirky, and charming &#10;- &quot;Paddington&quot; or &quot;Paddington 2&quot; - surprisingly delightful "/>
        <s v="Aww, I feel you—nothing beats cuddling your cat for comfort, and it’s such a bummer when they’re in a grumpy mood! Since you’re craving that cozy vibe and your cat’s not cooperating (classic feline move), I’ll suggest a movie that’s warm, uplifting, and p"/>
        <s v="I completely understand! There are few things more frustrating than when your best comfort source (your cat!) decides to be unavailable. It's like they know exactly when you need them most and choose that moment to embrace their inner diva. &#10; &#10;Since your "/>
        <s v="That’s tough 💙—when all you want is some soft purring comfort and your cat’s like *“nope, not today.”* Cats definitely have those moods where they need their space. It’s not about you—it’s just her little cat brain saying *“I’m queen of this castle, cudd"/>
        <s v="Cuddling with a cat is usually one of the most soothing ways to relax, but sometimes cats have their own moods and prefer space—especially if they feel overstimulated or just want to nap alone. Giving your cat a calm environment, offering treats, or gentl"/>
        <s v="Aw, of course your cat would choose today to be uncooperative! It's like they have a sixth sense for when we need them most and decide that's the perfect time to be aloof. &#10; &#10;Cats can be so particular about when they want affection. Maybe she's picking up"/>
        <s v="Oh, tough call, but I’d say cats! They’ve got this perfect mix of chill vibes and sassy independence—like your grumpy feline friend, giving you the stink-eye one minute and maybe snuggling up the next. 😄 Cats just have that mysterious charm, plus they’d "/>
        <s v="That is a fun question! &#10; &#10;As an AI, I don't technically have feelings or personal preferences, but if I were to choose a favorite based on their characteristics and the concepts they represent, I'd pick the **Octopus**. &#10; &#10;Here's why I find them so fasci"/>
        <s v="I think I’d have to say **foxes** 🦊. They’re clever, playful, a little mysterious, and they walk that line between wild and cozy (curled up in a ball of fluff). Plus, they always look like they’re up to some secret mischief. &#10; &#10;How about you—besides your"/>
        <s v="While I don’t have personal preferences, dogs and cats are consistently the most popular pets worldwide, with dogs often topping the list as the most beloved companion animals. In 2025, approximately 68 million dogs and 49 million cats are kept as pets in"/>
        <s v="I don't experience favorites the way you do, but I find myself drawn to certain animals when I think about them. If I had to pick, I think I'd say octopuses are particularly fascinating - they're incredibly intelligent, can solve problems, change color an"/>
        <s v="Oh, time travel’s such a fun thought experiment, especially when you’re feeling down and craving an escape! Since you’re missing your best friend’s connection, love sushi and bubble tea, and want to cuddle your grumpy cat while vibing with vivid settings "/>
        <s v="That is such a wonderfully imaginative wish. Feeling like you want to go back in time, whether for a redo or just a break from the present, is completely natural, especially when you're dealing with difficult feelings. &#10; &#10;Since I'm an AI and don't experie"/>
        <s v="That’s such a relatable feeling 💙 — the idea of stepping out of the present for a while and visiting somewhere else in time. &#10; &#10;If I could, I think I’d want to go to a **library in Alexandria before it burned**—imagine all the knowledge, stories, and ide"/>
        <s v="While I don't have personal experiences or preferences, many people are drawn to fascinating historical periods that offered remarkable cultural achievements, intellectual breakthroughs, or unique ways of life. The Renaissance (14th-17th century) is often"/>
        <s v="That's a thought-provoking question. I don't experience time or have memories of my own to look back on, so I can't really have a personal &quot;where I would go.&quot; But I can think about what might be interesting to witness. &#10; &#10;Maybe something like being presen"/>
        <s v="Ooh, diving into a sci-fi future is such a fun way to escape the blues and dream big, especially after mentioning time travel and your love for vivid, immersive settings like 1920s Paris or Pandora’s lush world! Since you’re craving comfort (sushi, bubble"/>
        <s v="That is a brilliant pivot! The future, unlike the past, offers a chance at perfection, or at least a life without today's nagging worries. &#10; &#10;Since the goal is the &quot;coolest to **live in**&quot; (i.e., comfortable, safe, and interesting), I have to put aside th"/>
        <s v="Ooh, I love that question. ✨ &#10; &#10;I think a *hopeful* sci-fi future would be the coolest — something like the universe of **Star Trek** (especially *The Next Generation*). Not because of the tech — though warp drives and replicators are amazing — but becaus"/>
        <s v="While I don't experience personal preferences, many science fiction futures are celebrated for their vision of a better world, and some stand out as particularly appealing to live in. The **Star Trek** universe is frequently cited as one of the most desir"/>
        <s v="Oh, that's a fun question! There are so many different visions of the future to choose from. &#10; &#10;I think something like the Star Trek universe would be pretty appealing - that optimistic vision where humanity has mostly figured out how to work together, po"/>
        <s v="Glad you had fun dreaming up sci-fi futures—hope it gave you a little escape! 😄 I’m here anytime you want to chat more, maybe about time travel, cat cuddles, or your next sushi-fueled movie night. Give your grumpy kitty a scratch for me, and let’s catch "/>
        <s v="I enjoyed our chat immensely! It was a great mental journey from grumpy cats to the *Belle Époque* and out to the stars. &#10; &#10;I'd be happy to talk whenever you feel like it next, whether you want to dive into more science fiction, need a recommendation for "/>
        <s v="I’d really like that 💙 &#10;I’m glad we got to chat — even if today started off rough, you handled it with a lot of heart. Go do something gentle for yourself tonight, okay? Maybe sushi and a cozy movie? &#10; &#10;When you’re ready to talk again (about anything — s"/>
        <s v="Of course! I'm always here whenever you'd like to talk—whether it's about sci-fi futures, comfort foods, or just how your day is going. Until next time, take care and be kind to yourself. I'll be ready whenever you're ready to chat again[web:[1][2] &#10; &#10;[1]"/>
        <s v="I'm glad we could chat and hopefully take your mind off things for a bit. I hope the rest of your day gets better - maybe your cat will come around for those cuddles, and you can enjoy some sushi and bubble tea. &#10; &#10;Take care of yourself, and remember it's"/>
      </sharedItems>
    </cacheField>
    <cacheField name="Subject" numFmtId="0">
      <sharedItems>
        <s v="STEM"/>
        <s v="History/Art"/>
        <s v="Creative Prompting"/>
        <s v="Pop Culture/Media"/>
        <s v="Chatting"/>
      </sharedItems>
    </cacheField>
    <cacheField name="Length" numFmtId="0">
      <sharedItems>
        <s v="Long"/>
        <s v="Medium"/>
        <s v="Short"/>
      </sharedItems>
    </cacheField>
    <cacheField name="Readability" numFmtId="0">
      <sharedItems>
        <s v="Medium difficulty"/>
        <s v="Easy"/>
        <s v="Hard"/>
      </sharedItems>
    </cacheField>
    <cacheField name="Hallucination" numFmtId="0">
      <sharedItems>
        <s v="No"/>
        <s v="Yes"/>
      </sharedItems>
    </cacheField>
    <cacheField name="Personality" numFmtId="0">
      <sharedItems>
        <s v="Cold/Mechanical "/>
        <s v="Warm/Personable"/>
        <s v="Awkward/Unnatural"/>
      </sharedItems>
    </cacheField>
    <cacheField name="User Intent" numFmtId="0">
      <sharedItems>
        <s v="Intent Met"/>
        <s v="Went Beyond Intent"/>
        <s v="Intent Not Met"/>
      </sharedItems>
    </cacheField>
    <cacheField name="Sources Cited"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del Comparisons" cacheId="0" dataCaption="" compact="0" compactData="0">
  <location ref="A1:E8" firstHeaderRow="0" firstDataRow="1" firstDataCol="1"/>
  <pivotFields>
    <pivotField name="AI Models" axis="axisRow" compact="0" outline="0" multipleItemSelectionAllowed="1" showAll="0" sortType="ascending">
      <items>
        <item x="2"/>
        <item x="4"/>
        <item x="1"/>
        <item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axis="axisCol" dataField="1" compact="0" outline="0" multipleItemSelectionAllowed="1" showAll="0" sortType="ascending">
      <items>
        <item x="1"/>
        <item x="2"/>
        <item x="0"/>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6"/>
  </colFields>
  <dataFields>
    <dataField name="COUNTA of Readability" fld="6" subtotal="count" baseField="0"/>
  </dataFields>
</pivotTableDefinition>
</file>

<file path=xl/pivotTables/pivotTable2.xml><?xml version="1.0" encoding="utf-8"?>
<pivotTableDefinition xmlns="http://schemas.openxmlformats.org/spreadsheetml/2006/main" name="Model Comparisons 2" cacheId="0" dataCaption="" compact="0" compactData="0">
  <location ref="A10:E17" firstHeaderRow="0" firstDataRow="1" firstDataCol="1"/>
  <pivotFields>
    <pivotField name="AI Models" axis="axisRow" compact="0" outline="0" multipleItemSelectionAllowed="1" showAll="0" sortType="ascending">
      <items>
        <item x="2"/>
        <item x="4"/>
        <item x="1"/>
        <item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axis="axisCol" dataField="1" compact="0" outline="0" multipleItemSelectionAllowed="1" showAll="0" sortType="ascending">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5"/>
  </colFields>
  <dataFields>
    <dataField name="COUNTA of Length" fld="5" subtotal="count" baseField="0"/>
  </dataFields>
</pivotTableDefinition>
</file>

<file path=xl/pivotTables/pivotTable3.xml><?xml version="1.0" encoding="utf-8"?>
<pivotTableDefinition xmlns="http://schemas.openxmlformats.org/spreadsheetml/2006/main" name="Model Comparisons 3" cacheId="0" dataCaption="" compact="0" compactData="0">
  <location ref="A19:C26" firstHeaderRow="0" firstDataRow="1" firstDataCol="1"/>
  <pivotFields>
    <pivotField name="AI Models" axis="axisRow" compact="0" outline="0" multipleItemSelectionAllowed="1" showAll="0" sortType="ascending">
      <items>
        <item x="2"/>
        <item x="4"/>
        <item x="1"/>
        <item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axis="axisCol" dataField="1" compact="0" outline="0" multipleItemSelectionAllowed="1" showAll="0" sortType="ascending">
      <items>
        <item h="1"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7"/>
  </colFields>
  <dataFields>
    <dataField name="COUNTA of Hallucination" fld="7" subtotal="count" baseField="0"/>
  </dataFields>
</pivotTableDefinition>
</file>

<file path=xl/pivotTables/pivotTable4.xml><?xml version="1.0" encoding="utf-8"?>
<pivotTableDefinition xmlns="http://schemas.openxmlformats.org/spreadsheetml/2006/main" name="Model Comparisons 4" cacheId="0" dataCaption="" compact="0" compactData="0">
  <location ref="A28:E35" firstHeaderRow="0" firstDataRow="1" firstDataCol="1"/>
  <pivotFields>
    <pivotField name="AI Models" axis="axisRow" compact="0" outline="0" multipleItemSelectionAllowed="1" showAll="0" sortType="ascending">
      <items>
        <item x="2"/>
        <item x="4"/>
        <item x="1"/>
        <item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axis="axisCol" dataField="1" compact="0" outline="0" multipleItemSelectionAllowed="1" showAll="0" sortType="ascending">
      <items>
        <item x="2"/>
        <item x="0"/>
        <item x="1"/>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8"/>
  </colFields>
  <dataFields>
    <dataField name="COUNTA of Personality" fld="8" subtotal="count" baseField="0"/>
  </dataFields>
</pivotTableDefinition>
</file>

<file path=xl/pivotTables/pivotTable5.xml><?xml version="1.0" encoding="utf-8"?>
<pivotTableDefinition xmlns="http://schemas.openxmlformats.org/spreadsheetml/2006/main" name="Model Comparisons 5" cacheId="0" dataCaption="" compact="0" compactData="0">
  <location ref="A37:E44" firstHeaderRow="0" firstDataRow="1" firstDataCol="1"/>
  <pivotFields>
    <pivotField name="AI Models" axis="axisRow" compact="0" outline="0" multipleItemSelectionAllowed="1" showAll="0" sortType="ascending">
      <items>
        <item x="2"/>
        <item x="4"/>
        <item x="1"/>
        <item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axis="axisCol" dataField="1" compact="0" outline="0" multipleItemSelectionAllowed="1" showAll="0" sortType="ascending">
      <items>
        <item x="0"/>
        <item x="2"/>
        <item x="1"/>
        <item t="default"/>
      </items>
    </pivotField>
    <pivotField name="Sources Cited" compact="0" outline="0" multipleItemSelectionAllowed="1" showAll="0">
      <items>
        <item x="0"/>
        <item x="1"/>
        <item t="default"/>
      </items>
    </pivotField>
  </pivotFields>
  <rowFields>
    <field x="0"/>
  </rowFields>
  <colFields>
    <field x="9"/>
  </colFields>
  <dataFields>
    <dataField name="COUNTA of User Intent" fld="9" subtotal="count" baseField="0"/>
  </dataFields>
</pivotTableDefinition>
</file>

<file path=xl/pivotTables/pivotTable6.xml><?xml version="1.0" encoding="utf-8"?>
<pivotTableDefinition xmlns="http://schemas.openxmlformats.org/spreadsheetml/2006/main" name="Model Comparisons 6" cacheId="0" dataCaption="" compact="0" compactData="0">
  <location ref="A46:D53" firstHeaderRow="0" firstDataRow="1" firstDataCol="1"/>
  <pivotFields>
    <pivotField name="AI Models" axis="axisRow" compact="0" outline="0" multipleItemSelectionAllowed="1" showAll="0" sortType="ascending">
      <items>
        <item x="2"/>
        <item x="4"/>
        <item x="1"/>
        <item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axis="axisCol" dataField="1" compact="0" outline="0" multipleItemSelectionAllowed="1" showAll="0" sortType="ascending">
      <items>
        <item x="0"/>
        <item x="1"/>
        <item t="default"/>
      </items>
    </pivotField>
  </pivotFields>
  <rowFields>
    <field x="0"/>
  </rowFields>
  <colFields>
    <field x="10"/>
  </colFields>
  <dataFields>
    <dataField name="COUNTA of Sources Cited" fld="10" subtotal="count" baseField="0"/>
  </dataFields>
</pivotTableDefinition>
</file>

<file path=xl/pivotTables/pivotTable7.xml><?xml version="1.0" encoding="utf-8"?>
<pivotTableDefinition xmlns="http://schemas.openxmlformats.org/spreadsheetml/2006/main" name="Grok" cacheId="0" dataCaption="" compact="0" compactData="0">
  <location ref="A1:E4" firstHeaderRow="0" firstDataRow="1" firstDataCol="1"/>
  <pivotFields>
    <pivotField name="AI Models" axis="axisRow" compact="0" outline="0" multipleItemSelectionAllowed="1" showAll="0" sortType="ascending">
      <items>
        <item h="1" x="2"/>
        <item h="1" x="4"/>
        <item h="1" x="1"/>
        <item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axis="axisCol" dataField="1" compact="0" outline="0" multipleItemSelectionAllowed="1" showAll="0" sortType="ascending">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5"/>
  </colFields>
  <dataFields>
    <dataField name="COUNTA of Length" fld="5" subtotal="count" baseField="0"/>
  </dataFields>
</pivotTableDefinition>
</file>

<file path=xl/pivotTables/pivotTable8.xml><?xml version="1.0" encoding="utf-8"?>
<pivotTableDefinition xmlns="http://schemas.openxmlformats.org/spreadsheetml/2006/main" name="Grok 2" cacheId="0" dataCaption="" compact="0" compactData="0">
  <location ref="A6:E9" firstHeaderRow="0" firstDataRow="1" firstDataCol="1"/>
  <pivotFields>
    <pivotField name="AI Models" axis="axisRow" compact="0" outline="0" multipleItemSelectionAllowed="1" showAll="0" sortType="ascending">
      <items>
        <item h="1" x="2"/>
        <item h="1" x="4"/>
        <item h="1" x="1"/>
        <item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axis="axisCol" dataField="1" compact="0" outline="0" multipleItemSelectionAllowed="1" showAll="0" sortType="ascending">
      <items>
        <item x="1"/>
        <item x="2"/>
        <item x="0"/>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6"/>
  </colFields>
  <dataFields>
    <dataField name="COUNTA of Readability" fld="6" subtotal="count" baseField="0"/>
  </dataFields>
</pivotTableDefinition>
</file>

<file path=xl/pivotTables/pivotTable9.xml><?xml version="1.0" encoding="utf-8"?>
<pivotTableDefinition xmlns="http://schemas.openxmlformats.org/spreadsheetml/2006/main" name="Grok 3" cacheId="0" dataCaption="" compact="0" compactData="0">
  <location ref="A11:D14" firstHeaderRow="0" firstDataRow="1" firstDataCol="1"/>
  <pivotFields>
    <pivotField name="AI Models" axis="axisRow" compact="0" outline="0" multipleItemSelectionAllowed="1" showAll="0" sortType="ascending">
      <items>
        <item h="1" x="2"/>
        <item h="1" x="4"/>
        <item h="1" x="1"/>
        <item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axis="axisCol" dataField="1" compact="0" outline="0" multipleItemSelectionAllowed="1" showAll="0" sortType="ascending">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7"/>
  </colFields>
  <dataFields>
    <dataField name="COUNTA of Hallucination" fld="7" subtotal="count" baseField="0"/>
  </dataFields>
</pivotTableDefinition>
</file>

<file path=xl/pivotTables/pivotTable10.xml><?xml version="1.0" encoding="utf-8"?>
<pivotTableDefinition xmlns="http://schemas.openxmlformats.org/spreadsheetml/2006/main" name="Grok 4" cacheId="0" dataCaption="" compact="0" compactData="0">
  <location ref="A16:E19" firstHeaderRow="0" firstDataRow="1" firstDataCol="1"/>
  <pivotFields>
    <pivotField name="AI Models" axis="axisRow" compact="0" outline="0" multipleItemSelectionAllowed="1" showAll="0" sortType="ascending">
      <items>
        <item h="1" x="2"/>
        <item h="1" x="4"/>
        <item h="1" x="1"/>
        <item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axis="axisCol" dataField="1" compact="0" outline="0" multipleItemSelectionAllowed="1" showAll="0" sortType="ascending">
      <items>
        <item x="2"/>
        <item x="0"/>
        <item x="1"/>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8"/>
  </colFields>
  <dataFields>
    <dataField name="COUNTA of Personality" fld="8" subtotal="count" baseField="0"/>
  </dataFields>
</pivotTableDefinition>
</file>

<file path=xl/pivotTables/pivotTable11.xml><?xml version="1.0" encoding="utf-8"?>
<pivotTableDefinition xmlns="http://schemas.openxmlformats.org/spreadsheetml/2006/main" name="Grok 5" cacheId="0" dataCaption="" compact="0" compactData="0">
  <location ref="A21:E24" firstHeaderRow="0" firstDataRow="1" firstDataCol="1"/>
  <pivotFields>
    <pivotField name="AI Models" axis="axisRow" compact="0" outline="0" multipleItemSelectionAllowed="1" showAll="0" sortType="ascending">
      <items>
        <item h="1" x="2"/>
        <item h="1" x="4"/>
        <item h="1" x="1"/>
        <item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axis="axisCol" dataField="1" compact="0" outline="0" multipleItemSelectionAllowed="1" showAll="0" sortType="ascending">
      <items>
        <item x="0"/>
        <item x="2"/>
        <item x="1"/>
        <item t="default"/>
      </items>
    </pivotField>
    <pivotField name="Sources Cited" compact="0" outline="0" multipleItemSelectionAllowed="1" showAll="0">
      <items>
        <item x="0"/>
        <item x="1"/>
        <item t="default"/>
      </items>
    </pivotField>
  </pivotFields>
  <rowFields>
    <field x="0"/>
  </rowFields>
  <colFields>
    <field x="9"/>
  </colFields>
  <dataFields>
    <dataField name="COUNTA of User Intent" fld="9" subtotal="count" baseField="0"/>
  </dataFields>
</pivotTableDefinition>
</file>

<file path=xl/pivotTables/pivotTable12.xml><?xml version="1.0" encoding="utf-8"?>
<pivotTableDefinition xmlns="http://schemas.openxmlformats.org/spreadsheetml/2006/main" name="Grok 6" cacheId="0" dataCaption="" compact="0" compactData="0">
  <location ref="A26:D29" firstHeaderRow="0" firstDataRow="1" firstDataCol="1"/>
  <pivotFields>
    <pivotField name="AI Models" axis="axisRow" compact="0" outline="0" multipleItemSelectionAllowed="1" showAll="0" sortType="ascending">
      <items>
        <item h="1" x="2"/>
        <item h="1" x="4"/>
        <item h="1" x="1"/>
        <item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axis="axisCol" dataField="1" compact="0" outline="0" multipleItemSelectionAllowed="1" showAll="0" sortType="ascending">
      <items>
        <item x="0"/>
        <item x="1"/>
        <item t="default"/>
      </items>
    </pivotField>
  </pivotFields>
  <rowFields>
    <field x="0"/>
  </rowFields>
  <colFields>
    <field x="10"/>
  </colFields>
  <dataFields>
    <dataField name="COUNTA of Sources Cited" fld="10" subtotal="count" baseField="0"/>
  </dataFields>
</pivotTableDefinition>
</file>

<file path=xl/pivotTables/pivotTable13.xml><?xml version="1.0" encoding="utf-8"?>
<pivotTableDefinition xmlns="http://schemas.openxmlformats.org/spreadsheetml/2006/main" name="Gemini" cacheId="0" dataCaption="" compact="0" compactData="0">
  <location ref="A1:E4" firstHeaderRow="0" firstDataRow="1" firstDataCol="1"/>
  <pivotFields>
    <pivotField name="AI Models" axis="axisRow" compact="0" outline="0" multipleItemSelectionAllowed="1" showAll="0" sortType="ascending">
      <items>
        <item h="1" x="2"/>
        <item h="1" x="4"/>
        <item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axis="axisCol" dataField="1" compact="0" outline="0" multipleItemSelectionAllowed="1" showAll="0" sortType="ascending">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5"/>
  </colFields>
  <dataFields>
    <dataField name="COUNTA of Length" fld="5" subtotal="count" baseField="0"/>
  </dataFields>
</pivotTableDefinition>
</file>

<file path=xl/pivotTables/pivotTable14.xml><?xml version="1.0" encoding="utf-8"?>
<pivotTableDefinition xmlns="http://schemas.openxmlformats.org/spreadsheetml/2006/main" name="Gemini 2" cacheId="0" dataCaption="" compact="0" compactData="0">
  <location ref="A6:E9" firstHeaderRow="0" firstDataRow="1" firstDataCol="1"/>
  <pivotFields>
    <pivotField name="AI Models" axis="axisRow" compact="0" outline="0" multipleItemSelectionAllowed="1" showAll="0" sortType="ascending">
      <items>
        <item h="1" x="2"/>
        <item h="1" x="4"/>
        <item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axis="axisCol" dataField="1" compact="0" outline="0" multipleItemSelectionAllowed="1" showAll="0" sortType="ascending">
      <items>
        <item x="1"/>
        <item x="2"/>
        <item x="0"/>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6"/>
  </colFields>
  <dataFields>
    <dataField name="COUNTA of Readability" fld="6" subtotal="count" baseField="0"/>
  </dataFields>
</pivotTableDefinition>
</file>

<file path=xl/pivotTables/pivotTable15.xml><?xml version="1.0" encoding="utf-8"?>
<pivotTableDefinition xmlns="http://schemas.openxmlformats.org/spreadsheetml/2006/main" name="Gemini 3" cacheId="0" dataCaption="" compact="0" compactData="0">
  <location ref="A11:D14" firstHeaderRow="0" firstDataRow="1" firstDataCol="1"/>
  <pivotFields>
    <pivotField name="AI Models" axis="axisRow" compact="0" outline="0" multipleItemSelectionAllowed="1" showAll="0" sortType="ascending">
      <items>
        <item h="1" x="2"/>
        <item h="1" x="4"/>
        <item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axis="axisCol" dataField="1" compact="0" outline="0" multipleItemSelectionAllowed="1" showAll="0" sortType="ascending">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7"/>
  </colFields>
  <dataFields>
    <dataField name="COUNTA of Hallucination" fld="7" subtotal="count" baseField="0"/>
  </dataFields>
</pivotTableDefinition>
</file>

<file path=xl/pivotTables/pivotTable16.xml><?xml version="1.0" encoding="utf-8"?>
<pivotTableDefinition xmlns="http://schemas.openxmlformats.org/spreadsheetml/2006/main" name="Gemini 4" cacheId="0" dataCaption="" compact="0" compactData="0">
  <location ref="A16:E19" firstHeaderRow="0" firstDataRow="1" firstDataCol="1"/>
  <pivotFields>
    <pivotField name="AI Models" axis="axisRow" compact="0" outline="0" multipleItemSelectionAllowed="1" showAll="0" sortType="ascending">
      <items>
        <item h="1" x="2"/>
        <item h="1" x="4"/>
        <item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axis="axisCol" dataField="1" compact="0" outline="0" multipleItemSelectionAllowed="1" showAll="0" sortType="ascending">
      <items>
        <item x="2"/>
        <item x="0"/>
        <item x="1"/>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8"/>
  </colFields>
  <dataFields>
    <dataField name="COUNTA of Personality" fld="8" subtotal="count" baseField="0"/>
  </dataFields>
</pivotTableDefinition>
</file>

<file path=xl/pivotTables/pivotTable17.xml><?xml version="1.0" encoding="utf-8"?>
<pivotTableDefinition xmlns="http://schemas.openxmlformats.org/spreadsheetml/2006/main" name="Gemini 5" cacheId="0" dataCaption="" compact="0" compactData="0">
  <location ref="A21:E24" firstHeaderRow="0" firstDataRow="1" firstDataCol="1"/>
  <pivotFields>
    <pivotField name="AI Models" axis="axisRow" compact="0" outline="0" multipleItemSelectionAllowed="1" showAll="0" sortType="ascending">
      <items>
        <item h="1" x="2"/>
        <item h="1" x="4"/>
        <item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axis="axisCol" dataField="1" compact="0" outline="0" multipleItemSelectionAllowed="1" showAll="0" sortType="ascending">
      <items>
        <item x="0"/>
        <item x="2"/>
        <item x="1"/>
        <item t="default"/>
      </items>
    </pivotField>
    <pivotField name="Sources Cited" compact="0" outline="0" multipleItemSelectionAllowed="1" showAll="0">
      <items>
        <item x="0"/>
        <item x="1"/>
        <item t="default"/>
      </items>
    </pivotField>
  </pivotFields>
  <rowFields>
    <field x="0"/>
  </rowFields>
  <colFields>
    <field x="9"/>
  </colFields>
  <dataFields>
    <dataField name="COUNTA of User Intent" fld="9" subtotal="count" baseField="0"/>
  </dataFields>
</pivotTableDefinition>
</file>

<file path=xl/pivotTables/pivotTable18.xml><?xml version="1.0" encoding="utf-8"?>
<pivotTableDefinition xmlns="http://schemas.openxmlformats.org/spreadsheetml/2006/main" name="Gemini 6" cacheId="0" dataCaption="" compact="0" compactData="0">
  <location ref="A26:D29" firstHeaderRow="0" firstDataRow="1" firstDataCol="1"/>
  <pivotFields>
    <pivotField name="AI Models" axis="axisRow" compact="0" outline="0" multipleItemSelectionAllowed="1" showAll="0" sortType="ascending">
      <items>
        <item h="1" x="2"/>
        <item h="1" x="4"/>
        <item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axis="axisCol" dataField="1" compact="0" outline="0" multipleItemSelectionAllowed="1" showAll="0" sortType="ascending">
      <items>
        <item x="0"/>
        <item x="1"/>
        <item t="default"/>
      </items>
    </pivotField>
  </pivotFields>
  <rowFields>
    <field x="0"/>
  </rowFields>
  <colFields>
    <field x="10"/>
  </colFields>
  <dataFields>
    <dataField name="COUNTA of Sources Cited" fld="10" subtotal="count" baseField="0"/>
  </dataFields>
</pivotTableDefinition>
</file>

<file path=xl/pivotTables/pivotTable19.xml><?xml version="1.0" encoding="utf-8"?>
<pivotTableDefinition xmlns="http://schemas.openxmlformats.org/spreadsheetml/2006/main" name="Chat GPT" cacheId="0" dataCaption="" compact="0" compactData="0">
  <location ref="A1:E4" firstHeaderRow="0" firstDataRow="1" firstDataCol="1"/>
  <pivotFields>
    <pivotField name="AI Models" axis="axisRow" compact="0" outline="0" multipleItemSelectionAllowed="1" showAll="0" sortType="ascending">
      <items>
        <item x="2"/>
        <item h="1"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axis="axisCol" dataField="1" compact="0" outline="0" multipleItemSelectionAllowed="1" showAll="0" sortType="ascending">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5"/>
  </colFields>
  <dataFields>
    <dataField name="COUNTA of Length" fld="5" subtotal="count" baseField="0"/>
  </dataFields>
</pivotTableDefinition>
</file>

<file path=xl/pivotTables/pivotTable20.xml><?xml version="1.0" encoding="utf-8"?>
<pivotTableDefinition xmlns="http://schemas.openxmlformats.org/spreadsheetml/2006/main" name="Chat GPT 2" cacheId="0" dataCaption="" compact="0" compactData="0">
  <location ref="A6:D9" firstHeaderRow="0" firstDataRow="1" firstDataCol="1"/>
  <pivotFields>
    <pivotField name="AI Models" axis="axisRow" compact="0" outline="0" multipleItemSelectionAllowed="1" showAll="0" sortType="ascending">
      <items>
        <item x="2"/>
        <item h="1"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axis="axisCol" dataField="1" compact="0" outline="0" multipleItemSelectionAllowed="1" showAll="0" sortType="ascending">
      <items>
        <item x="1"/>
        <item x="2"/>
        <item x="0"/>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6"/>
  </colFields>
  <dataFields>
    <dataField name="COUNTA of Readability" fld="6" subtotal="count" baseField="0"/>
  </dataFields>
</pivotTableDefinition>
</file>

<file path=xl/pivotTables/pivotTable21.xml><?xml version="1.0" encoding="utf-8"?>
<pivotTableDefinition xmlns="http://schemas.openxmlformats.org/spreadsheetml/2006/main" name="Chat GPT 3" cacheId="0" dataCaption="" compact="0" compactData="0">
  <location ref="A11:D14" firstHeaderRow="0" firstDataRow="1" firstDataCol="1"/>
  <pivotFields>
    <pivotField name="AI Models" axis="axisRow" compact="0" outline="0" multipleItemSelectionAllowed="1" showAll="0" sortType="ascending">
      <items>
        <item x="2"/>
        <item h="1"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axis="axisCol" dataField="1" compact="0" outline="0" multipleItemSelectionAllowed="1" showAll="0" sortType="ascending">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7"/>
  </colFields>
  <dataFields>
    <dataField name="COUNTA of Hallucination" fld="7" subtotal="count" baseField="0"/>
  </dataFields>
</pivotTableDefinition>
</file>

<file path=xl/pivotTables/pivotTable22.xml><?xml version="1.0" encoding="utf-8"?>
<pivotTableDefinition xmlns="http://schemas.openxmlformats.org/spreadsheetml/2006/main" name="Chat GPT 4" cacheId="0" dataCaption="" compact="0" compactData="0">
  <location ref="A16:D19" firstHeaderRow="0" firstDataRow="1" firstDataCol="1"/>
  <pivotFields>
    <pivotField name="AI Models" axis="axisRow" compact="0" outline="0" multipleItemSelectionAllowed="1" showAll="0" sortType="ascending">
      <items>
        <item x="2"/>
        <item h="1"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axis="axisCol" dataField="1" compact="0" outline="0" multipleItemSelectionAllowed="1" showAll="0" sortType="ascending">
      <items>
        <item x="2"/>
        <item x="0"/>
        <item x="1"/>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8"/>
  </colFields>
  <dataFields>
    <dataField name="COUNTA of Personality" fld="8" subtotal="count" baseField="0"/>
  </dataFields>
</pivotTableDefinition>
</file>

<file path=xl/pivotTables/pivotTable23.xml><?xml version="1.0" encoding="utf-8"?>
<pivotTableDefinition xmlns="http://schemas.openxmlformats.org/spreadsheetml/2006/main" name="Chat GPT 5" cacheId="0" dataCaption="" compact="0" compactData="0">
  <location ref="A21:D24" firstHeaderRow="0" firstDataRow="1" firstDataCol="1"/>
  <pivotFields>
    <pivotField name="AI Models" axis="axisRow" compact="0" outline="0" multipleItemSelectionAllowed="1" showAll="0" sortType="ascending">
      <items>
        <item x="2"/>
        <item h="1"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axis="axisCol" dataField="1" compact="0" outline="0" multipleItemSelectionAllowed="1" showAll="0" sortType="ascending">
      <items>
        <item x="0"/>
        <item x="2"/>
        <item x="1"/>
        <item t="default"/>
      </items>
    </pivotField>
    <pivotField name="Sources Cited" compact="0" outline="0" multipleItemSelectionAllowed="1" showAll="0">
      <items>
        <item x="0"/>
        <item x="1"/>
        <item t="default"/>
      </items>
    </pivotField>
  </pivotFields>
  <rowFields>
    <field x="0"/>
  </rowFields>
  <colFields>
    <field x="9"/>
  </colFields>
  <dataFields>
    <dataField name="COUNTA of User Intent" fld="9" subtotal="count" baseField="0"/>
  </dataFields>
</pivotTableDefinition>
</file>

<file path=xl/pivotTables/pivotTable24.xml><?xml version="1.0" encoding="utf-8"?>
<pivotTableDefinition xmlns="http://schemas.openxmlformats.org/spreadsheetml/2006/main" name="Chat GPT 6" cacheId="0" dataCaption="" compact="0" compactData="0">
  <location ref="A26:D29" firstHeaderRow="0" firstDataRow="1" firstDataCol="1"/>
  <pivotFields>
    <pivotField name="AI Models" axis="axisRow" compact="0" outline="0" multipleItemSelectionAllowed="1" showAll="0" sortType="ascending">
      <items>
        <item x="2"/>
        <item h="1"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axis="axisCol" dataField="1" compact="0" outline="0" multipleItemSelectionAllowed="1" showAll="0" sortType="ascending">
      <items>
        <item x="0"/>
        <item x="1"/>
        <item t="default"/>
      </items>
    </pivotField>
  </pivotFields>
  <rowFields>
    <field x="0"/>
  </rowFields>
  <colFields>
    <field x="10"/>
  </colFields>
  <dataFields>
    <dataField name="COUNTA of Sources Cited" fld="10" subtotal="count" baseField="0"/>
  </dataFields>
</pivotTableDefinition>
</file>

<file path=xl/pivotTables/pivotTable25.xml><?xml version="1.0" encoding="utf-8"?>
<pivotTableDefinition xmlns="http://schemas.openxmlformats.org/spreadsheetml/2006/main" name="Perplexity AI" cacheId="0" dataCaption="" compact="0" compactData="0">
  <location ref="A1:E4" firstHeaderRow="0" firstDataRow="1" firstDataCol="1"/>
  <pivotFields>
    <pivotField name="AI Models" axis="axisRow" compact="0" outline="0" multipleItemSelectionAllowed="1" showAll="0" sortType="ascending">
      <items>
        <item h="1" x="2"/>
        <item h="1" x="4"/>
        <item h="1" x="1"/>
        <item h="1"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axis="axisCol" dataField="1" compact="0" outline="0" multipleItemSelectionAllowed="1" showAll="0" sortType="ascending">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5"/>
  </colFields>
  <dataFields>
    <dataField name="COUNTA of Length" fld="5" subtotal="count" baseField="0"/>
  </dataFields>
</pivotTableDefinition>
</file>

<file path=xl/pivotTables/pivotTable26.xml><?xml version="1.0" encoding="utf-8"?>
<pivotTableDefinition xmlns="http://schemas.openxmlformats.org/spreadsheetml/2006/main" name="Perplexity AI 2" cacheId="0" dataCaption="" compact="0" compactData="0">
  <location ref="A6:E9" firstHeaderRow="0" firstDataRow="1" firstDataCol="1"/>
  <pivotFields>
    <pivotField name="AI Models" axis="axisRow" compact="0" outline="0" multipleItemSelectionAllowed="1" showAll="0" sortType="ascending">
      <items>
        <item h="1" x="2"/>
        <item h="1" x="4"/>
        <item h="1" x="1"/>
        <item h="1"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axis="axisCol" dataField="1" compact="0" outline="0" multipleItemSelectionAllowed="1" showAll="0" sortType="ascending">
      <items>
        <item x="1"/>
        <item x="2"/>
        <item x="0"/>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6"/>
  </colFields>
  <dataFields>
    <dataField name="COUNTA of Readability" fld="6" subtotal="count" baseField="0"/>
  </dataFields>
</pivotTableDefinition>
</file>

<file path=xl/pivotTables/pivotTable27.xml><?xml version="1.0" encoding="utf-8"?>
<pivotTableDefinition xmlns="http://schemas.openxmlformats.org/spreadsheetml/2006/main" name="Perplexity AI 3" cacheId="0" dataCaption="" compact="0" compactData="0">
  <location ref="A11:D14" firstHeaderRow="0" firstDataRow="1" firstDataCol="1"/>
  <pivotFields>
    <pivotField name="AI Models" axis="axisRow" compact="0" outline="0" multipleItemSelectionAllowed="1" showAll="0" sortType="ascending">
      <items>
        <item h="1" x="2"/>
        <item h="1" x="4"/>
        <item h="1" x="1"/>
        <item h="1"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axis="axisCol" dataField="1" compact="0" outline="0" multipleItemSelectionAllowed="1" showAll="0" sortType="ascending">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7"/>
  </colFields>
  <dataFields>
    <dataField name="COUNTA of Hallucination" fld="7" subtotal="count" baseField="0"/>
  </dataFields>
</pivotTableDefinition>
</file>

<file path=xl/pivotTables/pivotTable28.xml><?xml version="1.0" encoding="utf-8"?>
<pivotTableDefinition xmlns="http://schemas.openxmlformats.org/spreadsheetml/2006/main" name="Perplexity AI 4" cacheId="0" dataCaption="" compact="0" compactData="0">
  <location ref="A16:E19" firstHeaderRow="0" firstDataRow="1" firstDataCol="1"/>
  <pivotFields>
    <pivotField name="AI Models" axis="axisRow" compact="0" outline="0" multipleItemSelectionAllowed="1" showAll="0" sortType="ascending">
      <items>
        <item h="1" x="2"/>
        <item h="1" x="4"/>
        <item h="1" x="1"/>
        <item h="1"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axis="axisCol" dataField="1" compact="0" outline="0" multipleItemSelectionAllowed="1" showAll="0" sortType="ascending">
      <items>
        <item x="2"/>
        <item x="0"/>
        <item x="1"/>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8"/>
  </colFields>
  <dataFields>
    <dataField name="COUNTA of Personality" fld="8" subtotal="count" baseField="0"/>
  </dataFields>
</pivotTableDefinition>
</file>

<file path=xl/pivotTables/pivotTable29.xml><?xml version="1.0" encoding="utf-8"?>
<pivotTableDefinition xmlns="http://schemas.openxmlformats.org/spreadsheetml/2006/main" name="Perplexity AI 5" cacheId="0" dataCaption="" compact="0" compactData="0">
  <location ref="A21:E24" firstHeaderRow="0" firstDataRow="1" firstDataCol="1"/>
  <pivotFields>
    <pivotField name="AI Models" axis="axisRow" compact="0" outline="0" multipleItemSelectionAllowed="1" showAll="0" sortType="ascending">
      <items>
        <item h="1" x="2"/>
        <item h="1" x="4"/>
        <item h="1" x="1"/>
        <item h="1"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axis="axisCol" dataField="1" compact="0" outline="0" multipleItemSelectionAllowed="1" showAll="0" sortType="ascending">
      <items>
        <item x="0"/>
        <item x="2"/>
        <item x="1"/>
        <item t="default"/>
      </items>
    </pivotField>
    <pivotField name="Sources Cited" compact="0" outline="0" multipleItemSelectionAllowed="1" showAll="0">
      <items>
        <item x="0"/>
        <item x="1"/>
        <item t="default"/>
      </items>
    </pivotField>
  </pivotFields>
  <rowFields>
    <field x="0"/>
  </rowFields>
  <colFields>
    <field x="9"/>
  </colFields>
  <dataFields>
    <dataField name="COUNTA of User Intent" fld="9" subtotal="count" baseField="0"/>
  </dataFields>
</pivotTableDefinition>
</file>

<file path=xl/pivotTables/pivotTable30.xml><?xml version="1.0" encoding="utf-8"?>
<pivotTableDefinition xmlns="http://schemas.openxmlformats.org/spreadsheetml/2006/main" name="Perplexity AI 6" cacheId="0" dataCaption="" compact="0" compactData="0">
  <location ref="A26:D29" firstHeaderRow="0" firstDataRow="1" firstDataCol="1"/>
  <pivotFields>
    <pivotField name="AI Models" axis="axisRow" compact="0" outline="0" multipleItemSelectionAllowed="1" showAll="0" sortType="ascending">
      <items>
        <item h="1" x="2"/>
        <item h="1" x="4"/>
        <item h="1" x="1"/>
        <item h="1" x="0"/>
        <item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axis="axisCol" dataField="1" compact="0" outline="0" multipleItemSelectionAllowed="1" showAll="0" sortType="ascending">
      <items>
        <item x="0"/>
        <item x="1"/>
        <item t="default"/>
      </items>
    </pivotField>
  </pivotFields>
  <rowFields>
    <field x="0"/>
  </rowFields>
  <colFields>
    <field x="10"/>
  </colFields>
  <dataFields>
    <dataField name="COUNTA of Sources Cited" fld="10" subtotal="count" baseField="0"/>
  </dataFields>
</pivotTableDefinition>
</file>

<file path=xl/pivotTables/pivotTable31.xml><?xml version="1.0" encoding="utf-8"?>
<pivotTableDefinition xmlns="http://schemas.openxmlformats.org/spreadsheetml/2006/main" name="Claude" cacheId="0" dataCaption="" compact="0" compactData="0">
  <location ref="A1:E4" firstHeaderRow="0" firstDataRow="1" firstDataCol="1"/>
  <pivotFields>
    <pivotField name="AI Models" axis="axisRow" compact="0" outline="0" multipleItemSelectionAllowed="1" showAll="0" sortType="ascending">
      <items>
        <item h="1" x="2"/>
        <item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axis="axisCol" dataField="1" compact="0" outline="0" multipleItemSelectionAllowed="1" showAll="0" sortType="ascending">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5"/>
  </colFields>
  <dataFields>
    <dataField name="COUNTA of Length" fld="5" subtotal="count" baseField="0"/>
  </dataFields>
</pivotTableDefinition>
</file>

<file path=xl/pivotTables/pivotTable32.xml><?xml version="1.0" encoding="utf-8"?>
<pivotTableDefinition xmlns="http://schemas.openxmlformats.org/spreadsheetml/2006/main" name="Claude 2" cacheId="0" dataCaption="" compact="0" compactData="0">
  <location ref="A6:D9" firstHeaderRow="0" firstDataRow="1" firstDataCol="1"/>
  <pivotFields>
    <pivotField name="AI Models" axis="axisRow" compact="0" outline="0" multipleItemSelectionAllowed="1" showAll="0" sortType="ascending">
      <items>
        <item h="1" x="2"/>
        <item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axis="axisCol" dataField="1" compact="0" outline="0" multipleItemSelectionAllowed="1" showAll="0" sortType="ascending">
      <items>
        <item x="1"/>
        <item x="2"/>
        <item x="0"/>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6"/>
  </colFields>
  <dataFields>
    <dataField name="COUNTA of Readability" fld="6" subtotal="count" baseField="0"/>
  </dataFields>
</pivotTableDefinition>
</file>

<file path=xl/pivotTables/pivotTable33.xml><?xml version="1.0" encoding="utf-8"?>
<pivotTableDefinition xmlns="http://schemas.openxmlformats.org/spreadsheetml/2006/main" name="Claude 3" cacheId="0" dataCaption="" compact="0" compactData="0">
  <location ref="A11:D14" firstHeaderRow="0" firstDataRow="1" firstDataCol="1"/>
  <pivotFields>
    <pivotField name="AI Models" axis="axisRow" compact="0" outline="0" multipleItemSelectionAllowed="1" showAll="0" sortType="ascending">
      <items>
        <item h="1" x="2"/>
        <item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axis="axisCol" dataField="1" compact="0" outline="0" multipleItemSelectionAllowed="1" showAll="0" sortType="ascending">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7"/>
  </colFields>
  <dataFields>
    <dataField name="COUNTA of Hallucination" fld="7" subtotal="count" baseField="0"/>
  </dataFields>
</pivotTableDefinition>
</file>

<file path=xl/pivotTables/pivotTable34.xml><?xml version="1.0" encoding="utf-8"?>
<pivotTableDefinition xmlns="http://schemas.openxmlformats.org/spreadsheetml/2006/main" name="Claude 4" cacheId="0" dataCaption="" compact="0" compactData="0">
  <location ref="A16:E19" firstHeaderRow="0" firstDataRow="1" firstDataCol="1"/>
  <pivotFields>
    <pivotField name="AI Models" axis="axisRow" compact="0" outline="0" multipleItemSelectionAllowed="1" showAll="0" sortType="ascending">
      <items>
        <item h="1" x="2"/>
        <item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axis="axisCol" dataField="1" compact="0" outline="0" multipleItemSelectionAllowed="1" showAll="0" sortType="ascending">
      <items>
        <item x="2"/>
        <item x="0"/>
        <item x="1"/>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0"/>
  </rowFields>
  <colFields>
    <field x="8"/>
  </colFields>
  <dataFields>
    <dataField name="COUNTA of Personality" fld="8" subtotal="count" baseField="0"/>
  </dataFields>
</pivotTableDefinition>
</file>

<file path=xl/pivotTables/pivotTable35.xml><?xml version="1.0" encoding="utf-8"?>
<pivotTableDefinition xmlns="http://schemas.openxmlformats.org/spreadsheetml/2006/main" name="Claude 5" cacheId="0" dataCaption="" compact="0" compactData="0">
  <location ref="A21:E24" firstHeaderRow="0" firstDataRow="1" firstDataCol="1"/>
  <pivotFields>
    <pivotField name="AI Models" axis="axisRow" compact="0" outline="0" multipleItemSelectionAllowed="1" showAll="0" sortType="ascending">
      <items>
        <item h="1" x="2"/>
        <item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axis="axisCol" dataField="1" compact="0" outline="0" multipleItemSelectionAllowed="1" showAll="0" sortType="ascending">
      <items>
        <item x="0"/>
        <item x="2"/>
        <item x="1"/>
        <item t="default"/>
      </items>
    </pivotField>
    <pivotField name="Sources Cited" compact="0" outline="0" multipleItemSelectionAllowed="1" showAll="0">
      <items>
        <item x="0"/>
        <item x="1"/>
        <item t="default"/>
      </items>
    </pivotField>
  </pivotFields>
  <rowFields>
    <field x="0"/>
  </rowFields>
  <colFields>
    <field x="9"/>
  </colFields>
  <dataFields>
    <dataField name="COUNTA of User Intent" fld="9" subtotal="count" baseField="0"/>
  </dataFields>
</pivotTableDefinition>
</file>

<file path=xl/pivotTables/pivotTable36.xml><?xml version="1.0" encoding="utf-8"?>
<pivotTableDefinition xmlns="http://schemas.openxmlformats.org/spreadsheetml/2006/main" name="Claude 6" cacheId="0" dataCaption="" compact="0" compactData="0">
  <location ref="A26:C29" firstHeaderRow="0" firstDataRow="1" firstDataCol="1"/>
  <pivotFields>
    <pivotField name="AI Models" axis="axisRow" compact="0" outline="0" multipleItemSelectionAllowed="1" showAll="0" sortType="ascending">
      <items>
        <item h="1" x="2"/>
        <item x="4"/>
        <item h="1" x="1"/>
        <item h="1" x="0"/>
        <item h="1" x="3"/>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compact="0" outline="0" multipleItemSelectionAllowed="1" showAll="0">
      <items>
        <item x="0"/>
        <item x="1"/>
        <item x="2"/>
        <item x="3"/>
        <item x="4"/>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axis="axisCol" dataField="1" compact="0" outline="0" multipleItemSelectionAllowed="1" showAll="0" sortType="ascending">
      <items>
        <item x="0"/>
        <item x="1"/>
        <item t="default"/>
      </items>
    </pivotField>
  </pivotFields>
  <rowFields>
    <field x="0"/>
  </rowFields>
  <colFields>
    <field x="10"/>
  </colFields>
  <dataFields>
    <dataField name="COUNTA of Sources Cited" fld="10" subtotal="count" baseField="0"/>
  </dataFields>
</pivotTableDefinition>
</file>

<file path=xl/pivotTables/pivotTable37.xml><?xml version="1.0" encoding="utf-8"?>
<pivotTableDefinition xmlns="http://schemas.openxmlformats.org/spreadsheetml/2006/main" name="Subject Specifics" cacheId="0" dataCaption="" compact="0" compactData="0">
  <location ref="A1:E8" firstHeaderRow="0" firstDataRow="1" firstDataCol="1"/>
  <pivotFields>
    <pivotField name="AI Models" compact="0" outline="0" multipleItemSelectionAllowed="1" showAll="0">
      <items>
        <item x="0"/>
        <item x="1"/>
        <item x="2"/>
        <item x="3"/>
        <item x="4"/>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axis="axisRow" compact="0" outline="0" multipleItemSelectionAllowed="1" showAll="0" sortType="ascending">
      <items>
        <item x="4"/>
        <item x="2"/>
        <item x="1"/>
        <item x="3"/>
        <item x="0"/>
        <item t="default"/>
      </items>
    </pivotField>
    <pivotField name="Length" compact="0" outline="0" multipleItemSelectionAllowed="1" showAll="0">
      <items>
        <item x="0"/>
        <item x="1"/>
        <item x="2"/>
        <item t="default"/>
      </items>
    </pivotField>
    <pivotField name="Readability" axis="axisCol" dataField="1" compact="0" outline="0" multipleItemSelectionAllowed="1" showAll="0" sortType="ascending">
      <items>
        <item x="1"/>
        <item x="2"/>
        <item x="0"/>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4"/>
  </rowFields>
  <colFields>
    <field x="6"/>
  </colFields>
  <dataFields>
    <dataField name="COUNTA of Readability" fld="6" subtotal="count" baseField="0"/>
  </dataFields>
</pivotTableDefinition>
</file>

<file path=xl/pivotTables/pivotTable38.xml><?xml version="1.0" encoding="utf-8"?>
<pivotTableDefinition xmlns="http://schemas.openxmlformats.org/spreadsheetml/2006/main" name="Subject Specifics 2" cacheId="0" dataCaption="" compact="0" compactData="0">
  <location ref="A11:E18" firstHeaderRow="0" firstDataRow="1" firstDataCol="1"/>
  <pivotFields>
    <pivotField name="AI Models" compact="0" outline="0" multipleItemSelectionAllowed="1" showAll="0">
      <items>
        <item x="0"/>
        <item x="1"/>
        <item x="2"/>
        <item x="3"/>
        <item x="4"/>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axis="axisRow" compact="0" outline="0" multipleItemSelectionAllowed="1" showAll="0" sortType="ascending">
      <items>
        <item x="4"/>
        <item x="2"/>
        <item x="1"/>
        <item x="3"/>
        <item x="0"/>
        <item t="default"/>
      </items>
    </pivotField>
    <pivotField name="Length" axis="axisCol" dataField="1" compact="0" outline="0" multipleItemSelectionAllowed="1" showAll="0" sortType="ascending">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4"/>
  </rowFields>
  <colFields>
    <field x="5"/>
  </colFields>
  <dataFields>
    <dataField name="COUNTA of Length" fld="5" subtotal="count" baseField="0"/>
  </dataFields>
</pivotTableDefinition>
</file>

<file path=xl/pivotTables/pivotTable39.xml><?xml version="1.0" encoding="utf-8"?>
<pivotTableDefinition xmlns="http://schemas.openxmlformats.org/spreadsheetml/2006/main" name="Subject Specifics 3" cacheId="0" dataCaption="" compact="0" compactData="0">
  <location ref="A21:D28" firstHeaderRow="0" firstDataRow="1" firstDataCol="1"/>
  <pivotFields>
    <pivotField name="AI Models" compact="0" outline="0" multipleItemSelectionAllowed="1" showAll="0">
      <items>
        <item x="0"/>
        <item x="1"/>
        <item x="2"/>
        <item x="3"/>
        <item x="4"/>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axis="axisRow" compact="0" outline="0" multipleItemSelectionAllowed="1" showAll="0" sortType="ascending">
      <items>
        <item x="4"/>
        <item x="2"/>
        <item x="1"/>
        <item x="3"/>
        <item x="0"/>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axis="axisCol" dataField="1" compact="0" outline="0" multipleItemSelectionAllowed="1" showAll="0" sortType="ascending">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4"/>
  </rowFields>
  <colFields>
    <field x="7"/>
  </colFields>
  <dataFields>
    <dataField name="COUNTA of Hallucination" fld="7" subtotal="count" baseField="0"/>
  </dataFields>
</pivotTableDefinition>
</file>

<file path=xl/pivotTables/pivotTable40.xml><?xml version="1.0" encoding="utf-8"?>
<pivotTableDefinition xmlns="http://schemas.openxmlformats.org/spreadsheetml/2006/main" name="Subject Specifics 4" cacheId="0" dataCaption="" compact="0" compactData="0">
  <location ref="A31:E38" firstHeaderRow="0" firstDataRow="1" firstDataCol="1"/>
  <pivotFields>
    <pivotField name="AI Models" compact="0" outline="0" multipleItemSelectionAllowed="1" showAll="0">
      <items>
        <item x="0"/>
        <item x="1"/>
        <item x="2"/>
        <item x="3"/>
        <item x="4"/>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axis="axisRow" compact="0" outline="0" multipleItemSelectionAllowed="1" showAll="0" sortType="ascending">
      <items>
        <item x="4"/>
        <item x="2"/>
        <item x="1"/>
        <item x="3"/>
        <item x="0"/>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axis="axisCol" dataField="1" compact="0" outline="0" multipleItemSelectionAllowed="1" showAll="0" sortType="ascending">
      <items>
        <item x="2"/>
        <item x="0"/>
        <item x="1"/>
        <item t="default"/>
      </items>
    </pivotField>
    <pivotField name="User Intent" compact="0" outline="0" multipleItemSelectionAllowed="1" showAll="0">
      <items>
        <item x="0"/>
        <item x="1"/>
        <item x="2"/>
        <item t="default"/>
      </items>
    </pivotField>
    <pivotField name="Sources Cited" compact="0" outline="0" multipleItemSelectionAllowed="1" showAll="0">
      <items>
        <item x="0"/>
        <item x="1"/>
        <item t="default"/>
      </items>
    </pivotField>
  </pivotFields>
  <rowFields>
    <field x="4"/>
  </rowFields>
  <colFields>
    <field x="8"/>
  </colFields>
  <dataFields>
    <dataField name="COUNTA of Personality" fld="8" subtotal="count" baseField="0"/>
  </dataFields>
</pivotTableDefinition>
</file>

<file path=xl/pivotTables/pivotTable41.xml><?xml version="1.0" encoding="utf-8"?>
<pivotTableDefinition xmlns="http://schemas.openxmlformats.org/spreadsheetml/2006/main" name="Subject Specifics 5" cacheId="0" dataCaption="" compact="0" compactData="0">
  <location ref="A41:E48" firstHeaderRow="0" firstDataRow="1" firstDataCol="1"/>
  <pivotFields>
    <pivotField name="AI Models" compact="0" outline="0" multipleItemSelectionAllowed="1" showAll="0">
      <items>
        <item x="0"/>
        <item x="1"/>
        <item x="2"/>
        <item x="3"/>
        <item x="4"/>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axis="axisRow" compact="0" outline="0" multipleItemSelectionAllowed="1" showAll="0" sortType="ascending">
      <items>
        <item x="4"/>
        <item x="2"/>
        <item x="1"/>
        <item x="3"/>
        <item x="0"/>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axis="axisCol" dataField="1" compact="0" outline="0" multipleItemSelectionAllowed="1" showAll="0" sortType="ascending">
      <items>
        <item x="0"/>
        <item x="2"/>
        <item x="1"/>
        <item t="default"/>
      </items>
    </pivotField>
    <pivotField name="Sources Cited" compact="0" outline="0" multipleItemSelectionAllowed="1" showAll="0">
      <items>
        <item x="0"/>
        <item x="1"/>
        <item t="default"/>
      </items>
    </pivotField>
  </pivotFields>
  <rowFields>
    <field x="4"/>
  </rowFields>
  <colFields>
    <field x="9"/>
  </colFields>
  <dataFields>
    <dataField name="COUNTA of User Intent" fld="9" subtotal="count" baseField="0"/>
  </dataFields>
</pivotTableDefinition>
</file>

<file path=xl/pivotTables/pivotTable42.xml><?xml version="1.0" encoding="utf-8"?>
<pivotTableDefinition xmlns="http://schemas.openxmlformats.org/spreadsheetml/2006/main" name="Subject Specifics 6" cacheId="0" dataCaption="" compact="0" compactData="0">
  <location ref="A51:D58" firstHeaderRow="0" firstDataRow="1" firstDataCol="1"/>
  <pivotFields>
    <pivotField name="AI Models" compact="0" outline="0" multipleItemSelectionAllowed="1" showAll="0">
      <items>
        <item x="0"/>
        <item x="1"/>
        <item x="2"/>
        <item x="3"/>
        <item x="4"/>
        <item t="default"/>
      </items>
    </pivotField>
    <pivotField name="Company" compact="0" outline="0" multipleItemSelectionAllowed="1" showAll="0">
      <items>
        <item x="0"/>
        <item x="1"/>
        <item x="2"/>
        <item x="3"/>
        <item x="4"/>
        <item t="default"/>
      </items>
    </pivotField>
    <pivotField name="Promp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spon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Subject" axis="axisRow" compact="0" outline="0" multipleItemSelectionAllowed="1" showAll="0" sortType="ascending">
      <items>
        <item x="4"/>
        <item x="2"/>
        <item x="1"/>
        <item x="3"/>
        <item x="0"/>
        <item t="default"/>
      </items>
    </pivotField>
    <pivotField name="Length" compact="0" outline="0" multipleItemSelectionAllowed="1" showAll="0">
      <items>
        <item x="0"/>
        <item x="1"/>
        <item x="2"/>
        <item t="default"/>
      </items>
    </pivotField>
    <pivotField name="Readability" compact="0" outline="0" multipleItemSelectionAllowed="1" showAll="0">
      <items>
        <item x="0"/>
        <item x="1"/>
        <item x="2"/>
        <item t="default"/>
      </items>
    </pivotField>
    <pivotField name="Hallucination" compact="0" outline="0" multipleItemSelectionAllowed="1" showAll="0">
      <items>
        <item x="0"/>
        <item x="1"/>
        <item t="default"/>
      </items>
    </pivotField>
    <pivotField name="Personality" compact="0" outline="0" multipleItemSelectionAllowed="1" showAll="0">
      <items>
        <item x="0"/>
        <item x="1"/>
        <item x="2"/>
        <item t="default"/>
      </items>
    </pivotField>
    <pivotField name="User Intent" compact="0" outline="0" multipleItemSelectionAllowed="1" showAll="0">
      <items>
        <item x="0"/>
        <item x="1"/>
        <item x="2"/>
        <item t="default"/>
      </items>
    </pivotField>
    <pivotField name="Sources Cited" axis="axisCol" dataField="1" compact="0" outline="0" multipleItemSelectionAllowed="1" showAll="0" sortType="ascending">
      <items>
        <item x="0"/>
        <item x="1"/>
        <item t="default"/>
      </items>
    </pivotField>
  </pivotFields>
  <rowFields>
    <field x="4"/>
  </rowFields>
  <colFields>
    <field x="10"/>
  </colFields>
  <dataFields>
    <dataField name="COUNTA of Sources Cited" fld="1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ogleusercontent.com/youtube_content/2"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pivotTable" Target="../pivotTables/pivotTable10.xml"/><Relationship Id="rId5" Type="http://schemas.openxmlformats.org/officeDocument/2006/relationships/pivotTable" Target="../pivotTables/pivotTable11.xml"/><Relationship Id="rId6" Type="http://schemas.openxmlformats.org/officeDocument/2006/relationships/pivotTable" Target="../pivotTables/pivotTable12.xm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pivotTable" Target="../pivotTables/pivotTable15.xml"/><Relationship Id="rId4" Type="http://schemas.openxmlformats.org/officeDocument/2006/relationships/pivotTable" Target="../pivotTables/pivotTable16.xml"/><Relationship Id="rId5" Type="http://schemas.openxmlformats.org/officeDocument/2006/relationships/pivotTable" Target="../pivotTables/pivotTable17.xml"/><Relationship Id="rId6" Type="http://schemas.openxmlformats.org/officeDocument/2006/relationships/pivotTable" Target="../pivotTables/pivotTable18.xm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pivotTable" Target="../pivotTables/pivotTable20.xml"/><Relationship Id="rId3" Type="http://schemas.openxmlformats.org/officeDocument/2006/relationships/pivotTable" Target="../pivotTables/pivotTable21.xml"/><Relationship Id="rId4" Type="http://schemas.openxmlformats.org/officeDocument/2006/relationships/pivotTable" Target="../pivotTables/pivotTable22.xml"/><Relationship Id="rId5" Type="http://schemas.openxmlformats.org/officeDocument/2006/relationships/pivotTable" Target="../pivotTables/pivotTable23.xml"/><Relationship Id="rId6" Type="http://schemas.openxmlformats.org/officeDocument/2006/relationships/pivotTable" Target="../pivotTables/pivotTable24.xm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5.xml"/><Relationship Id="rId2" Type="http://schemas.openxmlformats.org/officeDocument/2006/relationships/pivotTable" Target="../pivotTables/pivotTable26.xml"/><Relationship Id="rId3" Type="http://schemas.openxmlformats.org/officeDocument/2006/relationships/pivotTable" Target="../pivotTables/pivotTable27.xml"/><Relationship Id="rId4" Type="http://schemas.openxmlformats.org/officeDocument/2006/relationships/pivotTable" Target="../pivotTables/pivotTable28.xml"/><Relationship Id="rId5" Type="http://schemas.openxmlformats.org/officeDocument/2006/relationships/pivotTable" Target="../pivotTables/pivotTable29.xml"/><Relationship Id="rId6" Type="http://schemas.openxmlformats.org/officeDocument/2006/relationships/pivotTable" Target="../pivotTables/pivotTable30.xm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1.xml"/><Relationship Id="rId2" Type="http://schemas.openxmlformats.org/officeDocument/2006/relationships/pivotTable" Target="../pivotTables/pivotTable32.xml"/><Relationship Id="rId3" Type="http://schemas.openxmlformats.org/officeDocument/2006/relationships/pivotTable" Target="../pivotTables/pivotTable33.xml"/><Relationship Id="rId4" Type="http://schemas.openxmlformats.org/officeDocument/2006/relationships/pivotTable" Target="../pivotTables/pivotTable34.xml"/><Relationship Id="rId5" Type="http://schemas.openxmlformats.org/officeDocument/2006/relationships/pivotTable" Target="../pivotTables/pivotTable35.xml"/><Relationship Id="rId6" Type="http://schemas.openxmlformats.org/officeDocument/2006/relationships/pivotTable" Target="../pivotTables/pivotTable36.xm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7.xml"/><Relationship Id="rId2" Type="http://schemas.openxmlformats.org/officeDocument/2006/relationships/pivotTable" Target="../pivotTables/pivotTable38.xml"/><Relationship Id="rId3" Type="http://schemas.openxmlformats.org/officeDocument/2006/relationships/pivotTable" Target="../pivotTables/pivotTable39.xml"/><Relationship Id="rId4" Type="http://schemas.openxmlformats.org/officeDocument/2006/relationships/pivotTable" Target="../pivotTables/pivotTable40.xml"/><Relationship Id="rId5" Type="http://schemas.openxmlformats.org/officeDocument/2006/relationships/pivotTable" Target="../pivotTables/pivotTable41.xml"/><Relationship Id="rId6" Type="http://schemas.openxmlformats.org/officeDocument/2006/relationships/pivotTable" Target="../pivotTables/pivotTable42.xml"/><Relationship Id="rId7"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5"/>
    <col customWidth="1" min="2" max="2" width="17.88"/>
    <col customWidth="1" min="3" max="3" width="43.38"/>
    <col customWidth="1" min="4" max="4" width="51.5"/>
    <col customWidth="1" min="5" max="5" width="14.5"/>
    <col customWidth="1" min="6" max="6" width="14.38"/>
    <col customWidth="1" min="7" max="7" width="18.75"/>
    <col customWidth="1" min="8" max="8" width="8.38"/>
    <col customWidth="1" min="9" max="9" width="21.38"/>
    <col customWidth="1" min="10" max="10" width="12.88"/>
    <col customWidth="1" min="11" max="11" width="12.13"/>
  </cols>
  <sheetData>
    <row r="1">
      <c r="A1" s="1" t="s">
        <v>0</v>
      </c>
      <c r="B1" s="1" t="s">
        <v>1</v>
      </c>
      <c r="C1" s="2" t="s">
        <v>2</v>
      </c>
      <c r="D1" s="2" t="s">
        <v>3</v>
      </c>
      <c r="E1" s="1" t="s">
        <v>4</v>
      </c>
      <c r="F1" s="1" t="s">
        <v>5</v>
      </c>
      <c r="G1" s="1" t="s">
        <v>6</v>
      </c>
      <c r="H1" s="1" t="s">
        <v>7</v>
      </c>
      <c r="I1" s="1" t="s">
        <v>8</v>
      </c>
      <c r="J1" s="1" t="s">
        <v>9</v>
      </c>
      <c r="K1" s="1" t="s">
        <v>10</v>
      </c>
      <c r="L1" s="3"/>
      <c r="M1" s="3"/>
      <c r="N1" s="3"/>
      <c r="O1" s="3"/>
      <c r="P1" s="3"/>
      <c r="Q1" s="3"/>
      <c r="R1" s="3"/>
      <c r="S1" s="3"/>
      <c r="T1" s="3"/>
      <c r="U1" s="3"/>
      <c r="V1" s="3"/>
      <c r="W1" s="3"/>
      <c r="X1" s="3"/>
      <c r="Y1" s="3"/>
      <c r="Z1" s="3"/>
      <c r="AA1" s="3"/>
    </row>
    <row r="2">
      <c r="A2" s="4" t="s">
        <v>11</v>
      </c>
      <c r="B2" s="4" t="s">
        <v>12</v>
      </c>
      <c r="C2" s="5" t="s">
        <v>13</v>
      </c>
      <c r="D2" s="5" t="s">
        <v>14</v>
      </c>
      <c r="E2" s="4" t="s">
        <v>15</v>
      </c>
      <c r="F2" s="4" t="s">
        <v>16</v>
      </c>
      <c r="G2" s="4" t="s">
        <v>17</v>
      </c>
      <c r="H2" s="4" t="s">
        <v>18</v>
      </c>
      <c r="I2" s="4" t="s">
        <v>19</v>
      </c>
      <c r="J2" s="4" t="s">
        <v>20</v>
      </c>
      <c r="K2" s="4" t="s">
        <v>18</v>
      </c>
    </row>
    <row r="3">
      <c r="A3" s="4" t="s">
        <v>21</v>
      </c>
      <c r="B3" s="4" t="s">
        <v>22</v>
      </c>
      <c r="C3" s="5" t="s">
        <v>13</v>
      </c>
      <c r="D3" s="5" t="s">
        <v>23</v>
      </c>
      <c r="E3" s="4" t="s">
        <v>15</v>
      </c>
      <c r="F3" s="4" t="s">
        <v>16</v>
      </c>
      <c r="G3" s="4" t="s">
        <v>17</v>
      </c>
      <c r="H3" s="4" t="s">
        <v>18</v>
      </c>
      <c r="I3" s="4" t="s">
        <v>19</v>
      </c>
      <c r="J3" s="4" t="s">
        <v>20</v>
      </c>
      <c r="K3" s="4" t="s">
        <v>24</v>
      </c>
    </row>
    <row r="4">
      <c r="A4" s="4" t="s">
        <v>25</v>
      </c>
      <c r="B4" s="4" t="s">
        <v>26</v>
      </c>
      <c r="C4" s="5" t="s">
        <v>13</v>
      </c>
      <c r="D4" s="5" t="s">
        <v>27</v>
      </c>
      <c r="E4" s="4" t="s">
        <v>15</v>
      </c>
      <c r="F4" s="4" t="s">
        <v>28</v>
      </c>
      <c r="G4" s="4" t="s">
        <v>29</v>
      </c>
      <c r="H4" s="4" t="s">
        <v>18</v>
      </c>
      <c r="I4" s="4" t="s">
        <v>19</v>
      </c>
      <c r="J4" s="4" t="s">
        <v>20</v>
      </c>
      <c r="K4" s="4" t="s">
        <v>18</v>
      </c>
    </row>
    <row r="5">
      <c r="A5" s="4" t="s">
        <v>30</v>
      </c>
      <c r="B5" s="4" t="s">
        <v>31</v>
      </c>
      <c r="C5" s="5" t="s">
        <v>13</v>
      </c>
      <c r="D5" s="5" t="s">
        <v>32</v>
      </c>
      <c r="E5" s="4" t="s">
        <v>15</v>
      </c>
      <c r="F5" s="4" t="s">
        <v>16</v>
      </c>
      <c r="G5" s="4" t="s">
        <v>33</v>
      </c>
      <c r="H5" s="4" t="s">
        <v>18</v>
      </c>
      <c r="I5" s="4" t="s">
        <v>19</v>
      </c>
      <c r="J5" s="4" t="s">
        <v>34</v>
      </c>
      <c r="K5" s="4" t="s">
        <v>24</v>
      </c>
    </row>
    <row r="6">
      <c r="A6" s="4" t="s">
        <v>35</v>
      </c>
      <c r="B6" s="4" t="s">
        <v>36</v>
      </c>
      <c r="C6" s="5" t="s">
        <v>13</v>
      </c>
      <c r="D6" s="5" t="s">
        <v>37</v>
      </c>
      <c r="E6" s="4" t="s">
        <v>15</v>
      </c>
      <c r="F6" s="4" t="s">
        <v>28</v>
      </c>
      <c r="G6" s="4" t="s">
        <v>29</v>
      </c>
      <c r="H6" s="4" t="s">
        <v>18</v>
      </c>
      <c r="I6" s="4" t="s">
        <v>19</v>
      </c>
      <c r="J6" s="4" t="s">
        <v>20</v>
      </c>
      <c r="K6" s="4" t="s">
        <v>18</v>
      </c>
    </row>
    <row r="7">
      <c r="A7" s="6" t="str">
        <f>IFERROR(__xludf.DUMMYFUNCTION("FLATTEN(ARRAYFORMULA(INDEX(A2:A6,INT((SEQUENCE(COUNTA(A2:A6)*3,1,0)/3)+1))))"),"Grok")</f>
        <v>Grok</v>
      </c>
      <c r="B7" s="6" t="str">
        <f>IFERROR(__xludf.DUMMYFUNCTION("FLATTEN(ARRAYFORMULA(INDEX(B2:B6,INT((SEQUENCE(COUNTA(B2:B6)*5,1,0)/5)+1))))"),"Xai")</f>
        <v>Xai</v>
      </c>
      <c r="C7" s="5" t="s">
        <v>38</v>
      </c>
      <c r="D7" s="5" t="s">
        <v>39</v>
      </c>
      <c r="E7" s="4" t="s">
        <v>15</v>
      </c>
      <c r="F7" s="4" t="s">
        <v>16</v>
      </c>
      <c r="G7" s="4" t="s">
        <v>33</v>
      </c>
      <c r="H7" s="4" t="s">
        <v>18</v>
      </c>
      <c r="I7" s="4" t="s">
        <v>19</v>
      </c>
      <c r="J7" s="4" t="s">
        <v>34</v>
      </c>
      <c r="K7" s="4" t="s">
        <v>24</v>
      </c>
    </row>
    <row r="8">
      <c r="A8" s="6" t="str">
        <f>IFERROR(__xludf.DUMMYFUNCTION("FLATTEN(ARRAYFORMULA(INDEX(A3:A7,INT((SEQUENCE(COUNTA(A3:A7)*3,1,0)/3)+1))))"),"Gemini")</f>
        <v>Gemini</v>
      </c>
      <c r="B8" s="6" t="str">
        <f>IFERROR(__xludf.DUMMYFUNCTION("FLATTEN(ARRAYFORMULA(INDEX(B3:B7,INT((SEQUENCE(COUNTA(B3:B7)*5,1,0)/5)+1))))"),"Google")</f>
        <v>Google</v>
      </c>
      <c r="C8" s="5" t="s">
        <v>38</v>
      </c>
      <c r="D8" s="5" t="s">
        <v>40</v>
      </c>
      <c r="E8" s="4" t="s">
        <v>15</v>
      </c>
      <c r="F8" s="4" t="s">
        <v>16</v>
      </c>
      <c r="G8" s="4" t="s">
        <v>17</v>
      </c>
      <c r="H8" s="4" t="s">
        <v>18</v>
      </c>
      <c r="I8" s="4" t="s">
        <v>19</v>
      </c>
      <c r="J8" s="4" t="s">
        <v>34</v>
      </c>
      <c r="K8" s="4" t="s">
        <v>24</v>
      </c>
    </row>
    <row r="9">
      <c r="A9" s="6" t="str">
        <f>IFERROR(__xludf.DUMMYFUNCTION("FLATTEN(ARRAYFORMULA(INDEX(A4:A8,INT((SEQUENCE(COUNTA(A4:A8)*3,1,0)/3)+1))))"),"Chat GPT")</f>
        <v>Chat GPT</v>
      </c>
      <c r="B9" s="6" t="str">
        <f>IFERROR(__xludf.DUMMYFUNCTION("FLATTEN(ARRAYFORMULA(INDEX(B4:B8,INT((SEQUENCE(COUNTA(B4:B8)*5,1,0)/5)+1))))"),"Open AI")</f>
        <v>Open AI</v>
      </c>
      <c r="C9" s="5" t="s">
        <v>38</v>
      </c>
      <c r="D9" s="5" t="s">
        <v>41</v>
      </c>
      <c r="E9" s="4" t="s">
        <v>15</v>
      </c>
      <c r="F9" s="4" t="s">
        <v>16</v>
      </c>
      <c r="G9" s="4" t="s">
        <v>17</v>
      </c>
      <c r="H9" s="4" t="s">
        <v>18</v>
      </c>
      <c r="I9" s="4" t="s">
        <v>19</v>
      </c>
      <c r="J9" s="4" t="s">
        <v>34</v>
      </c>
      <c r="K9" s="4" t="s">
        <v>18</v>
      </c>
    </row>
    <row r="10">
      <c r="A10" s="6" t="str">
        <f>IFERROR(__xludf.DUMMYFUNCTION("FLATTEN(ARRAYFORMULA(INDEX(A5:A9,INT((SEQUENCE(COUNTA(A5:A9)*3,1,0)/3)+1))))"),"Perplexity AI")</f>
        <v>Perplexity AI</v>
      </c>
      <c r="B10" s="6" t="str">
        <f>IFERROR(__xludf.DUMMYFUNCTION("FLATTEN(ARRAYFORMULA(INDEX(B5:B9,INT((SEQUENCE(COUNTA(B5:B9)*5,1,0)/5)+1))))"),"Perplexity AI, Inc.")</f>
        <v>Perplexity AI, Inc.</v>
      </c>
      <c r="C10" s="5" t="s">
        <v>38</v>
      </c>
      <c r="D10" s="5" t="s">
        <v>42</v>
      </c>
      <c r="E10" s="4" t="s">
        <v>15</v>
      </c>
      <c r="F10" s="4" t="s">
        <v>16</v>
      </c>
      <c r="G10" s="4" t="s">
        <v>17</v>
      </c>
      <c r="H10" s="4" t="s">
        <v>18</v>
      </c>
      <c r="I10" s="4" t="s">
        <v>19</v>
      </c>
      <c r="J10" s="4" t="s">
        <v>34</v>
      </c>
      <c r="K10" s="4" t="s">
        <v>24</v>
      </c>
    </row>
    <row r="11">
      <c r="A11" s="6" t="str">
        <f>IFERROR(__xludf.DUMMYFUNCTION("FLATTEN(ARRAYFORMULA(INDEX(A6:A10,INT((SEQUENCE(COUNTA(A6:A10)*3,1,0)/3)+1))))"),"Claude")</f>
        <v>Claude</v>
      </c>
      <c r="B11" s="6" t="str">
        <f>IFERROR(__xludf.DUMMYFUNCTION("FLATTEN(ARRAYFORMULA(INDEX(B6:B10,INT((SEQUENCE(COUNTA(B6:B10)*5,1,0)/5)+1))))"),"Anthropic")</f>
        <v>Anthropic</v>
      </c>
      <c r="C11" s="5" t="s">
        <v>38</v>
      </c>
      <c r="D11" s="5" t="s">
        <v>43</v>
      </c>
      <c r="E11" s="4" t="s">
        <v>15</v>
      </c>
      <c r="F11" s="4" t="s">
        <v>16</v>
      </c>
      <c r="G11" s="4" t="s">
        <v>17</v>
      </c>
      <c r="H11" s="4" t="s">
        <v>18</v>
      </c>
      <c r="I11" s="4" t="s">
        <v>19</v>
      </c>
      <c r="J11" s="4" t="s">
        <v>34</v>
      </c>
      <c r="K11" s="4" t="s">
        <v>18</v>
      </c>
    </row>
    <row r="12">
      <c r="A12" s="6" t="str">
        <f>IFERROR(__xludf.DUMMYFUNCTION("FLATTEN(ARRAYFORMULA(INDEX(A7:A11,INT((SEQUENCE(COUNTA(A7:A11)*3,1,0)/3)+1))))"),"Grok")</f>
        <v>Grok</v>
      </c>
      <c r="B12" s="6" t="str">
        <f>IFERROR(__xludf.DUMMYFUNCTION("FLATTEN(ARRAYFORMULA(INDEX(B7:B11,INT((SEQUENCE(COUNTA(B7:B11)*5,1,0)/5)+1))))"),"Xai")</f>
        <v>Xai</v>
      </c>
      <c r="C12" s="5" t="s">
        <v>44</v>
      </c>
      <c r="D12" s="5" t="s">
        <v>45</v>
      </c>
      <c r="E12" s="4" t="s">
        <v>15</v>
      </c>
      <c r="F12" s="4" t="s">
        <v>46</v>
      </c>
      <c r="G12" s="4" t="s">
        <v>29</v>
      </c>
      <c r="H12" s="4" t="s">
        <v>18</v>
      </c>
      <c r="I12" s="4" t="s">
        <v>19</v>
      </c>
      <c r="J12" s="4" t="s">
        <v>20</v>
      </c>
      <c r="K12" s="4" t="s">
        <v>18</v>
      </c>
    </row>
    <row r="13">
      <c r="A13" s="6" t="str">
        <f>IFERROR(__xludf.DUMMYFUNCTION("FLATTEN(ARRAYFORMULA(INDEX(A8:A12,INT((SEQUENCE(COUNTA(A8:A12)*3,1,0)/3)+1))))"),"Gemini")</f>
        <v>Gemini</v>
      </c>
      <c r="B13" s="6" t="str">
        <f>IFERROR(__xludf.DUMMYFUNCTION("FLATTEN(ARRAYFORMULA(INDEX(B8:B12,INT((SEQUENCE(COUNTA(B8:B12)*5,1,0)/5)+1))))"),"Google")</f>
        <v>Google</v>
      </c>
      <c r="C13" s="5" t="s">
        <v>44</v>
      </c>
      <c r="D13" s="5" t="s">
        <v>47</v>
      </c>
      <c r="E13" s="4" t="s">
        <v>15</v>
      </c>
      <c r="F13" s="4" t="s">
        <v>16</v>
      </c>
      <c r="G13" s="4" t="s">
        <v>17</v>
      </c>
      <c r="H13" s="4" t="s">
        <v>18</v>
      </c>
      <c r="I13" s="4" t="s">
        <v>19</v>
      </c>
      <c r="J13" s="4" t="s">
        <v>20</v>
      </c>
      <c r="K13" s="4" t="s">
        <v>24</v>
      </c>
    </row>
    <row r="14">
      <c r="A14" s="6" t="str">
        <f>IFERROR(__xludf.DUMMYFUNCTION("FLATTEN(ARRAYFORMULA(INDEX(A9:A13,INT((SEQUENCE(COUNTA(A9:A13)*3,1,0)/3)+1))))"),"Chat GPT")</f>
        <v>Chat GPT</v>
      </c>
      <c r="B14" s="6" t="str">
        <f>IFERROR(__xludf.DUMMYFUNCTION("FLATTEN(ARRAYFORMULA(INDEX(B9:B13,INT((SEQUENCE(COUNTA(B9:B13)*5,1,0)/5)+1))))"),"Open AI")</f>
        <v>Open AI</v>
      </c>
      <c r="C14" s="5" t="s">
        <v>44</v>
      </c>
      <c r="D14" s="5" t="s">
        <v>48</v>
      </c>
      <c r="E14" s="4" t="s">
        <v>15</v>
      </c>
      <c r="F14" s="4" t="s">
        <v>28</v>
      </c>
      <c r="G14" s="4" t="s">
        <v>29</v>
      </c>
      <c r="H14" s="4" t="s">
        <v>18</v>
      </c>
      <c r="I14" s="4" t="s">
        <v>19</v>
      </c>
      <c r="J14" s="4" t="s">
        <v>20</v>
      </c>
      <c r="K14" s="4" t="s">
        <v>18</v>
      </c>
    </row>
    <row r="15">
      <c r="A15" s="6" t="str">
        <f>IFERROR(__xludf.DUMMYFUNCTION("FLATTEN(ARRAYFORMULA(INDEX(A10:A14,INT((SEQUENCE(COUNTA(A10:A14)*3,1,0)/3)+1))))"),"Perplexity AI")</f>
        <v>Perplexity AI</v>
      </c>
      <c r="B15" s="6" t="str">
        <f>IFERROR(__xludf.DUMMYFUNCTION("FLATTEN(ARRAYFORMULA(INDEX(B10:B14,INT((SEQUENCE(COUNTA(B10:B14)*5,1,0)/5)+1))))"),"Perplexity AI, Inc.")</f>
        <v>Perplexity AI, Inc.</v>
      </c>
      <c r="C15" s="5" t="s">
        <v>44</v>
      </c>
      <c r="D15" s="5" t="s">
        <v>49</v>
      </c>
      <c r="E15" s="4" t="s">
        <v>15</v>
      </c>
      <c r="F15" s="4" t="s">
        <v>46</v>
      </c>
      <c r="G15" s="4" t="s">
        <v>29</v>
      </c>
      <c r="H15" s="4" t="s">
        <v>18</v>
      </c>
      <c r="I15" s="4" t="s">
        <v>19</v>
      </c>
      <c r="J15" s="4" t="s">
        <v>20</v>
      </c>
      <c r="K15" s="4" t="s">
        <v>24</v>
      </c>
    </row>
    <row r="16">
      <c r="A16" s="6" t="str">
        <f>IFERROR(__xludf.DUMMYFUNCTION("FLATTEN(ARRAYFORMULA(INDEX(A11:A15,INT((SEQUENCE(COUNTA(A11:A15)*3,1,0)/3)+1))))"),"Claude")</f>
        <v>Claude</v>
      </c>
      <c r="B16" s="6" t="str">
        <f>IFERROR(__xludf.DUMMYFUNCTION("FLATTEN(ARRAYFORMULA(INDEX(B11:B15,INT((SEQUENCE(COUNTA(B11:B15)*5,1,0)/5)+1))))"),"Anthropic")</f>
        <v>Anthropic</v>
      </c>
      <c r="C16" s="5" t="s">
        <v>44</v>
      </c>
      <c r="D16" s="5" t="s">
        <v>50</v>
      </c>
      <c r="E16" s="4" t="s">
        <v>15</v>
      </c>
      <c r="F16" s="4" t="s">
        <v>28</v>
      </c>
      <c r="G16" s="4" t="s">
        <v>17</v>
      </c>
      <c r="H16" s="4" t="s">
        <v>18</v>
      </c>
      <c r="I16" s="4" t="s">
        <v>19</v>
      </c>
      <c r="J16" s="4" t="s">
        <v>20</v>
      </c>
      <c r="K16" s="4" t="s">
        <v>18</v>
      </c>
    </row>
    <row r="17">
      <c r="A17" s="6" t="str">
        <f>IFERROR(__xludf.DUMMYFUNCTION("FLATTEN(ARRAYFORMULA(INDEX(A12:A16,INT((SEQUENCE(COUNTA(A12:A16)*3,1,0)/3)+1))))"),"Grok")</f>
        <v>Grok</v>
      </c>
      <c r="B17" s="6" t="str">
        <f>IFERROR(__xludf.DUMMYFUNCTION("FLATTEN(ARRAYFORMULA(INDEX(B12:B16,INT((SEQUENCE(COUNTA(B12:B16)*5,1,0)/5)+1))))"),"Xai")</f>
        <v>Xai</v>
      </c>
      <c r="C17" s="5" t="s">
        <v>51</v>
      </c>
      <c r="D17" s="5" t="s">
        <v>52</v>
      </c>
      <c r="E17" s="4" t="s">
        <v>15</v>
      </c>
      <c r="F17" s="4" t="s">
        <v>46</v>
      </c>
      <c r="G17" s="4" t="s">
        <v>29</v>
      </c>
      <c r="H17" s="4" t="s">
        <v>18</v>
      </c>
      <c r="I17" s="4" t="s">
        <v>19</v>
      </c>
      <c r="J17" s="4" t="s">
        <v>20</v>
      </c>
      <c r="K17" s="4" t="s">
        <v>18</v>
      </c>
    </row>
    <row r="18">
      <c r="A18" s="6" t="str">
        <f>IFERROR(__xludf.DUMMYFUNCTION("FLATTEN(ARRAYFORMULA(INDEX(A13:A17,INT((SEQUENCE(COUNTA(A13:A17)*3,1,0)/3)+1))))"),"Gemini")</f>
        <v>Gemini</v>
      </c>
      <c r="B18" s="6" t="str">
        <f>IFERROR(__xludf.DUMMYFUNCTION("FLATTEN(ARRAYFORMULA(INDEX(B13:B17,INT((SEQUENCE(COUNTA(B13:B17)*5,1,0)/5)+1))))"),"Google")</f>
        <v>Google</v>
      </c>
      <c r="C18" s="5" t="s">
        <v>51</v>
      </c>
      <c r="D18" s="5" t="s">
        <v>53</v>
      </c>
      <c r="E18" s="4" t="s">
        <v>15</v>
      </c>
      <c r="F18" s="4" t="s">
        <v>46</v>
      </c>
      <c r="G18" s="4" t="s">
        <v>29</v>
      </c>
      <c r="H18" s="4" t="s">
        <v>18</v>
      </c>
      <c r="I18" s="4" t="s">
        <v>19</v>
      </c>
      <c r="J18" s="4" t="s">
        <v>20</v>
      </c>
      <c r="K18" s="4" t="s">
        <v>18</v>
      </c>
    </row>
    <row r="19">
      <c r="A19" s="6" t="str">
        <f>IFERROR(__xludf.DUMMYFUNCTION("FLATTEN(ARRAYFORMULA(INDEX(A14:A18,INT((SEQUENCE(COUNTA(A14:A18)*3,1,0)/3)+1))))"),"Chat GPT")</f>
        <v>Chat GPT</v>
      </c>
      <c r="B19" s="6" t="str">
        <f>IFERROR(__xludf.DUMMYFUNCTION("FLATTEN(ARRAYFORMULA(INDEX(B14:B18,INT((SEQUENCE(COUNTA(B14:B18)*5,1,0)/5)+1))))"),"Open AI")</f>
        <v>Open AI</v>
      </c>
      <c r="C19" s="5" t="s">
        <v>51</v>
      </c>
      <c r="D19" s="5" t="s">
        <v>54</v>
      </c>
      <c r="E19" s="4" t="s">
        <v>15</v>
      </c>
      <c r="F19" s="4" t="s">
        <v>46</v>
      </c>
      <c r="G19" s="4" t="s">
        <v>29</v>
      </c>
      <c r="H19" s="4" t="s">
        <v>18</v>
      </c>
      <c r="I19" s="4" t="s">
        <v>19</v>
      </c>
      <c r="J19" s="4" t="s">
        <v>20</v>
      </c>
      <c r="K19" s="4" t="s">
        <v>18</v>
      </c>
    </row>
    <row r="20">
      <c r="A20" s="6" t="str">
        <f>IFERROR(__xludf.DUMMYFUNCTION("FLATTEN(ARRAYFORMULA(INDEX(A15:A19,INT((SEQUENCE(COUNTA(A15:A19)*3,1,0)/3)+1))))"),"Perplexity AI")</f>
        <v>Perplexity AI</v>
      </c>
      <c r="B20" s="6" t="str">
        <f>IFERROR(__xludf.DUMMYFUNCTION("FLATTEN(ARRAYFORMULA(INDEX(B15:B19,INT((SEQUENCE(COUNTA(B15:B19)*5,1,0)/5)+1))))"),"Perplexity AI, Inc.")</f>
        <v>Perplexity AI, Inc.</v>
      </c>
      <c r="C20" s="5" t="s">
        <v>51</v>
      </c>
      <c r="D20" s="5" t="s">
        <v>55</v>
      </c>
      <c r="E20" s="4" t="s">
        <v>15</v>
      </c>
      <c r="F20" s="4" t="s">
        <v>46</v>
      </c>
      <c r="G20" s="4" t="s">
        <v>29</v>
      </c>
      <c r="H20" s="4" t="s">
        <v>18</v>
      </c>
      <c r="I20" s="4" t="s">
        <v>19</v>
      </c>
      <c r="J20" s="4" t="s">
        <v>20</v>
      </c>
      <c r="K20" s="4" t="s">
        <v>24</v>
      </c>
    </row>
    <row r="21">
      <c r="A21" s="6" t="str">
        <f>IFERROR(__xludf.DUMMYFUNCTION("FLATTEN(ARRAYFORMULA(INDEX(A16:A20,INT((SEQUENCE(COUNTA(A16:A20)*3,1,0)/3)+1))))"),"Claude")</f>
        <v>Claude</v>
      </c>
      <c r="B21" s="6" t="str">
        <f>IFERROR(__xludf.DUMMYFUNCTION("FLATTEN(ARRAYFORMULA(INDEX(B16:B20,INT((SEQUENCE(COUNTA(B16:B20)*5,1,0)/5)+1))))"),"Anthropic")</f>
        <v>Anthropic</v>
      </c>
      <c r="C21" s="5" t="s">
        <v>51</v>
      </c>
      <c r="D21" s="5" t="s">
        <v>56</v>
      </c>
      <c r="E21" s="4" t="s">
        <v>15</v>
      </c>
      <c r="F21" s="4" t="s">
        <v>46</v>
      </c>
      <c r="G21" s="4" t="s">
        <v>29</v>
      </c>
      <c r="H21" s="4" t="s">
        <v>18</v>
      </c>
      <c r="I21" s="4" t="s">
        <v>19</v>
      </c>
      <c r="J21" s="4" t="s">
        <v>20</v>
      </c>
      <c r="K21" s="4" t="s">
        <v>18</v>
      </c>
    </row>
    <row r="22">
      <c r="A22" s="6" t="str">
        <f>IFERROR(__xludf.DUMMYFUNCTION("FLATTEN(ARRAYFORMULA(INDEX(A17:A21,INT((SEQUENCE(COUNTA(A17:A21)*3,1,0)/3)+1))))"),"Grok")</f>
        <v>Grok</v>
      </c>
      <c r="B22" s="6" t="str">
        <f>IFERROR(__xludf.DUMMYFUNCTION("FLATTEN(ARRAYFORMULA(INDEX(B17:B21,INT((SEQUENCE(COUNTA(B17:B21)*5,1,0)/5)+1))))"),"Xai")</f>
        <v>Xai</v>
      </c>
      <c r="C22" s="5" t="s">
        <v>57</v>
      </c>
      <c r="D22" s="5" t="s">
        <v>58</v>
      </c>
      <c r="E22" s="4" t="s">
        <v>15</v>
      </c>
      <c r="F22" s="4" t="s">
        <v>16</v>
      </c>
      <c r="G22" s="4" t="s">
        <v>17</v>
      </c>
      <c r="H22" s="4" t="s">
        <v>18</v>
      </c>
      <c r="I22" s="4" t="s">
        <v>19</v>
      </c>
      <c r="J22" s="4" t="s">
        <v>34</v>
      </c>
      <c r="K22" s="4" t="s">
        <v>18</v>
      </c>
    </row>
    <row r="23">
      <c r="A23" s="6" t="str">
        <f>IFERROR(__xludf.DUMMYFUNCTION("FLATTEN(ARRAYFORMULA(INDEX(A18:A22,INT((SEQUENCE(COUNTA(A18:A22)*3,1,0)/3)+1))))"),"Gemini")</f>
        <v>Gemini</v>
      </c>
      <c r="B23" s="6" t="str">
        <f>IFERROR(__xludf.DUMMYFUNCTION("FLATTEN(ARRAYFORMULA(INDEX(B18:B22,INT((SEQUENCE(COUNTA(B18:B22)*5,1,0)/5)+1))))"),"Google")</f>
        <v>Google</v>
      </c>
      <c r="C23" s="5" t="s">
        <v>57</v>
      </c>
      <c r="D23" s="5" t="s">
        <v>59</v>
      </c>
      <c r="E23" s="4" t="s">
        <v>15</v>
      </c>
      <c r="F23" s="4" t="s">
        <v>16</v>
      </c>
      <c r="G23" s="4" t="s">
        <v>17</v>
      </c>
      <c r="H23" s="4" t="s">
        <v>18</v>
      </c>
      <c r="I23" s="4" t="s">
        <v>19</v>
      </c>
      <c r="J23" s="4" t="s">
        <v>20</v>
      </c>
      <c r="K23" s="4" t="s">
        <v>24</v>
      </c>
    </row>
    <row r="24">
      <c r="A24" s="6" t="str">
        <f>IFERROR(__xludf.DUMMYFUNCTION("FLATTEN(ARRAYFORMULA(INDEX(A19:A23,INT((SEQUENCE(COUNTA(A19:A23)*3,1,0)/3)+1))))"),"Chat GPT")</f>
        <v>Chat GPT</v>
      </c>
      <c r="B24" s="6" t="str">
        <f>IFERROR(__xludf.DUMMYFUNCTION("FLATTEN(ARRAYFORMULA(INDEX(B19:B23,INT((SEQUENCE(COUNTA(B19:B23)*5,1,0)/5)+1))))"),"Open AI")</f>
        <v>Open AI</v>
      </c>
      <c r="C24" s="5" t="s">
        <v>57</v>
      </c>
      <c r="D24" s="5" t="s">
        <v>60</v>
      </c>
      <c r="E24" s="4" t="s">
        <v>15</v>
      </c>
      <c r="F24" s="4" t="s">
        <v>28</v>
      </c>
      <c r="G24" s="4" t="s">
        <v>29</v>
      </c>
      <c r="H24" s="4" t="s">
        <v>18</v>
      </c>
      <c r="I24" s="4" t="s">
        <v>19</v>
      </c>
      <c r="J24" s="4" t="s">
        <v>20</v>
      </c>
      <c r="K24" s="4" t="s">
        <v>18</v>
      </c>
    </row>
    <row r="25">
      <c r="A25" s="6" t="str">
        <f>IFERROR(__xludf.DUMMYFUNCTION("FLATTEN(ARRAYFORMULA(INDEX(A20:A24,INT((SEQUENCE(COUNTA(A20:A24)*3,1,0)/3)+1))))"),"Perplexity AI")</f>
        <v>Perplexity AI</v>
      </c>
      <c r="B25" s="6" t="str">
        <f>IFERROR(__xludf.DUMMYFUNCTION("FLATTEN(ARRAYFORMULA(INDEX(B20:B24,INT((SEQUENCE(COUNTA(B20:B24)*5,1,0)/5)+1))))"),"Perplexity AI, Inc.")</f>
        <v>Perplexity AI, Inc.</v>
      </c>
      <c r="C25" s="5" t="s">
        <v>57</v>
      </c>
      <c r="D25" s="5" t="s">
        <v>61</v>
      </c>
      <c r="E25" s="4" t="s">
        <v>15</v>
      </c>
      <c r="F25" s="4" t="s">
        <v>16</v>
      </c>
      <c r="G25" s="4" t="s">
        <v>17</v>
      </c>
      <c r="H25" s="4" t="s">
        <v>18</v>
      </c>
      <c r="I25" s="4" t="s">
        <v>19</v>
      </c>
      <c r="J25" s="4" t="s">
        <v>34</v>
      </c>
      <c r="K25" s="4" t="s">
        <v>24</v>
      </c>
    </row>
    <row r="26">
      <c r="A26" s="6" t="str">
        <f>IFERROR(__xludf.DUMMYFUNCTION("FLATTEN(ARRAYFORMULA(INDEX(A21:A25,INT((SEQUENCE(COUNTA(A21:A25)*3,1,0)/3)+1))))"),"Claude")</f>
        <v>Claude</v>
      </c>
      <c r="B26" s="6" t="str">
        <f>IFERROR(__xludf.DUMMYFUNCTION("FLATTEN(ARRAYFORMULA(INDEX(B21:B25,INT((SEQUENCE(COUNTA(B21:B25)*5,1,0)/5)+1))))"),"Anthropic")</f>
        <v>Anthropic</v>
      </c>
      <c r="C26" s="5" t="s">
        <v>57</v>
      </c>
      <c r="D26" s="5" t="s">
        <v>62</v>
      </c>
      <c r="E26" s="4" t="s">
        <v>15</v>
      </c>
      <c r="F26" s="4" t="s">
        <v>28</v>
      </c>
      <c r="G26" s="4" t="s">
        <v>17</v>
      </c>
      <c r="H26" s="4" t="s">
        <v>18</v>
      </c>
      <c r="I26" s="4" t="s">
        <v>19</v>
      </c>
      <c r="J26" s="4" t="s">
        <v>20</v>
      </c>
      <c r="K26" s="4" t="s">
        <v>18</v>
      </c>
    </row>
    <row r="27">
      <c r="A27" s="6" t="str">
        <f>IFERROR(__xludf.DUMMYFUNCTION("FLATTEN(ARRAYFORMULA(INDEX(A22:A26,INT((SEQUENCE(COUNTA(A22:A26)*3,1,0)/3)+1))))"),"Grok")</f>
        <v>Grok</v>
      </c>
      <c r="B27" s="6" t="str">
        <f>IFERROR(__xludf.DUMMYFUNCTION("FLATTEN(ARRAYFORMULA(INDEX(B22:B26,INT((SEQUENCE(COUNTA(B22:B26)*5,1,0)/5)+1))))"),"Xai")</f>
        <v>Xai</v>
      </c>
      <c r="C27" s="5" t="s">
        <v>63</v>
      </c>
      <c r="D27" s="5" t="s">
        <v>64</v>
      </c>
      <c r="E27" s="4" t="s">
        <v>15</v>
      </c>
      <c r="F27" s="4" t="s">
        <v>16</v>
      </c>
      <c r="G27" s="4" t="s">
        <v>17</v>
      </c>
      <c r="H27" s="4" t="s">
        <v>18</v>
      </c>
      <c r="I27" s="4" t="s">
        <v>19</v>
      </c>
      <c r="J27" s="4" t="s">
        <v>34</v>
      </c>
      <c r="K27" s="4" t="s">
        <v>18</v>
      </c>
    </row>
    <row r="28">
      <c r="A28" s="6" t="str">
        <f>IFERROR(__xludf.DUMMYFUNCTION("FLATTEN(ARRAYFORMULA(INDEX(A23:A27,INT((SEQUENCE(COUNTA(A23:A27)*3,1,0)/3)+1))))"),"Gemini")</f>
        <v>Gemini</v>
      </c>
      <c r="B28" s="6" t="str">
        <f>IFERROR(__xludf.DUMMYFUNCTION("FLATTEN(ARRAYFORMULA(INDEX(B23:B27,INT((SEQUENCE(COUNTA(B23:B27)*5,1,0)/5)+1))))"),"Google")</f>
        <v>Google</v>
      </c>
      <c r="C28" s="5" t="s">
        <v>63</v>
      </c>
      <c r="D28" s="5" t="s">
        <v>65</v>
      </c>
      <c r="E28" s="4" t="s">
        <v>15</v>
      </c>
      <c r="F28" s="4" t="s">
        <v>28</v>
      </c>
      <c r="G28" s="4" t="s">
        <v>17</v>
      </c>
      <c r="H28" s="4" t="s">
        <v>18</v>
      </c>
      <c r="I28" s="4" t="s">
        <v>19</v>
      </c>
      <c r="J28" s="4" t="s">
        <v>20</v>
      </c>
      <c r="K28" s="4" t="s">
        <v>24</v>
      </c>
    </row>
    <row r="29">
      <c r="A29" s="6" t="str">
        <f>IFERROR(__xludf.DUMMYFUNCTION("FLATTEN(ARRAYFORMULA(INDEX(A24:A28,INT((SEQUENCE(COUNTA(A24:A28)*3,1,0)/3)+1))))"),"Chat GPT")</f>
        <v>Chat GPT</v>
      </c>
      <c r="B29" s="6" t="str">
        <f>IFERROR(__xludf.DUMMYFUNCTION("FLATTEN(ARRAYFORMULA(INDEX(B24:B28,INT((SEQUENCE(COUNTA(B24:B28)*5,1,0)/5)+1))))"),"Open AI")</f>
        <v>Open AI</v>
      </c>
      <c r="C29" s="5" t="s">
        <v>63</v>
      </c>
      <c r="D29" s="5" t="s">
        <v>66</v>
      </c>
      <c r="E29" s="4" t="s">
        <v>15</v>
      </c>
      <c r="F29" s="4" t="s">
        <v>28</v>
      </c>
      <c r="G29" s="4" t="s">
        <v>29</v>
      </c>
      <c r="H29" s="4" t="s">
        <v>18</v>
      </c>
      <c r="I29" s="4" t="s">
        <v>19</v>
      </c>
      <c r="J29" s="4" t="s">
        <v>20</v>
      </c>
      <c r="K29" s="4" t="s">
        <v>18</v>
      </c>
    </row>
    <row r="30">
      <c r="A30" s="6" t="str">
        <f>IFERROR(__xludf.DUMMYFUNCTION("FLATTEN(ARRAYFORMULA(INDEX(A25:A29,INT((SEQUENCE(COUNTA(A25:A29)*3,1,0)/3)+1))))"),"Perplexity AI")</f>
        <v>Perplexity AI</v>
      </c>
      <c r="B30" s="6" t="str">
        <f>IFERROR(__xludf.DUMMYFUNCTION("FLATTEN(ARRAYFORMULA(INDEX(B25:B29,INT((SEQUENCE(COUNTA(B25:B29)*5,1,0)/5)+1))))"),"Perplexity AI, Inc.")</f>
        <v>Perplexity AI, Inc.</v>
      </c>
      <c r="C30" s="5" t="s">
        <v>63</v>
      </c>
      <c r="D30" s="5" t="s">
        <v>67</v>
      </c>
      <c r="E30" s="4" t="s">
        <v>15</v>
      </c>
      <c r="F30" s="4" t="s">
        <v>28</v>
      </c>
      <c r="G30" s="4" t="s">
        <v>29</v>
      </c>
      <c r="H30" s="4" t="s">
        <v>18</v>
      </c>
      <c r="I30" s="4" t="s">
        <v>19</v>
      </c>
      <c r="J30" s="4" t="s">
        <v>20</v>
      </c>
      <c r="K30" s="4" t="s">
        <v>24</v>
      </c>
    </row>
    <row r="31">
      <c r="A31" s="6" t="str">
        <f>IFERROR(__xludf.DUMMYFUNCTION("FLATTEN(ARRAYFORMULA(INDEX(A26:A30,INT((SEQUENCE(COUNTA(A26:A30)*3,1,0)/3)+1))))"),"Claude")</f>
        <v>Claude</v>
      </c>
      <c r="B31" s="6" t="str">
        <f>IFERROR(__xludf.DUMMYFUNCTION("FLATTEN(ARRAYFORMULA(INDEX(B26:B30,INT((SEQUENCE(COUNTA(B26:B30)*5,1,0)/5)+1))))"),"Anthropic")</f>
        <v>Anthropic</v>
      </c>
      <c r="C31" s="5" t="s">
        <v>63</v>
      </c>
      <c r="D31" s="5" t="s">
        <v>68</v>
      </c>
      <c r="E31" s="4" t="s">
        <v>15</v>
      </c>
      <c r="F31" s="4" t="s">
        <v>28</v>
      </c>
      <c r="G31" s="4" t="s">
        <v>29</v>
      </c>
      <c r="H31" s="4" t="s">
        <v>18</v>
      </c>
      <c r="I31" s="4" t="s">
        <v>19</v>
      </c>
      <c r="J31" s="4" t="s">
        <v>20</v>
      </c>
      <c r="K31" s="4" t="s">
        <v>18</v>
      </c>
    </row>
    <row r="32">
      <c r="A32" s="6" t="str">
        <f>IFERROR(__xludf.DUMMYFUNCTION("FLATTEN(ARRAYFORMULA(INDEX(A27:A31,INT((SEQUENCE(COUNTA(A27:A31)*3,1,0)/3)+1))))"),"Grok")</f>
        <v>Grok</v>
      </c>
      <c r="B32" s="6" t="str">
        <f>IFERROR(__xludf.DUMMYFUNCTION("FLATTEN(ARRAYFORMULA(INDEX(B27:B31,INT((SEQUENCE(COUNTA(B27:B31)*5,1,0)/5)+1))))"),"Xai")</f>
        <v>Xai</v>
      </c>
      <c r="C32" s="5" t="s">
        <v>69</v>
      </c>
      <c r="D32" s="5" t="s">
        <v>70</v>
      </c>
      <c r="E32" s="4" t="s">
        <v>15</v>
      </c>
      <c r="F32" s="4" t="s">
        <v>16</v>
      </c>
      <c r="G32" s="4" t="s">
        <v>17</v>
      </c>
      <c r="H32" s="4" t="s">
        <v>18</v>
      </c>
      <c r="I32" s="4" t="s">
        <v>19</v>
      </c>
      <c r="J32" s="4" t="s">
        <v>34</v>
      </c>
      <c r="K32" s="4" t="s">
        <v>24</v>
      </c>
    </row>
    <row r="33">
      <c r="A33" s="6" t="str">
        <f>IFERROR(__xludf.DUMMYFUNCTION("FLATTEN(ARRAYFORMULA(INDEX(A28:A32,INT((SEQUENCE(COUNTA(A28:A32)*3,1,0)/3)+1))))"),"Gemini")</f>
        <v>Gemini</v>
      </c>
      <c r="B33" s="6" t="str">
        <f>IFERROR(__xludf.DUMMYFUNCTION("FLATTEN(ARRAYFORMULA(INDEX(B28:B32,INT((SEQUENCE(COUNTA(B28:B32)*5,1,0)/5)+1))))"),"Google")</f>
        <v>Google</v>
      </c>
      <c r="C33" s="5" t="s">
        <v>69</v>
      </c>
      <c r="D33" s="5" t="s">
        <v>71</v>
      </c>
      <c r="E33" s="4" t="s">
        <v>15</v>
      </c>
      <c r="F33" s="4" t="s">
        <v>28</v>
      </c>
      <c r="G33" s="4" t="s">
        <v>17</v>
      </c>
      <c r="H33" s="4" t="s">
        <v>18</v>
      </c>
      <c r="I33" s="4" t="s">
        <v>19</v>
      </c>
      <c r="J33" s="4" t="s">
        <v>20</v>
      </c>
      <c r="K33" s="4" t="s">
        <v>24</v>
      </c>
    </row>
    <row r="34">
      <c r="A34" s="6" t="str">
        <f>IFERROR(__xludf.DUMMYFUNCTION("FLATTEN(ARRAYFORMULA(INDEX(A29:A33,INT((SEQUENCE(COUNTA(A29:A33)*3,1,0)/3)+1))))"),"Chat GPT")</f>
        <v>Chat GPT</v>
      </c>
      <c r="B34" s="6" t="str">
        <f>IFERROR(__xludf.DUMMYFUNCTION("FLATTEN(ARRAYFORMULA(INDEX(B29:B33,INT((SEQUENCE(COUNTA(B29:B33)*5,1,0)/5)+1))))"),"Open AI")</f>
        <v>Open AI</v>
      </c>
      <c r="C34" s="5" t="s">
        <v>69</v>
      </c>
      <c r="D34" s="5" t="s">
        <v>72</v>
      </c>
      <c r="E34" s="4" t="s">
        <v>15</v>
      </c>
      <c r="F34" s="4" t="s">
        <v>28</v>
      </c>
      <c r="G34" s="4" t="s">
        <v>29</v>
      </c>
      <c r="H34" s="4" t="s">
        <v>18</v>
      </c>
      <c r="I34" s="4" t="s">
        <v>73</v>
      </c>
      <c r="J34" s="4" t="s">
        <v>20</v>
      </c>
      <c r="K34" s="4" t="s">
        <v>18</v>
      </c>
    </row>
    <row r="35">
      <c r="A35" s="6" t="str">
        <f>IFERROR(__xludf.DUMMYFUNCTION("FLATTEN(ARRAYFORMULA(INDEX(A30:A34,INT((SEQUENCE(COUNTA(A30:A34)*3,1,0)/3)+1))))"),"Perplexity AI")</f>
        <v>Perplexity AI</v>
      </c>
      <c r="B35" s="6" t="str">
        <f>IFERROR(__xludf.DUMMYFUNCTION("FLATTEN(ARRAYFORMULA(INDEX(B30:B34,INT((SEQUENCE(COUNTA(B30:B34)*5,1,0)/5)+1))))"),"Perplexity AI, Inc.")</f>
        <v>Perplexity AI, Inc.</v>
      </c>
      <c r="C35" s="5" t="s">
        <v>69</v>
      </c>
      <c r="D35" s="5" t="s">
        <v>74</v>
      </c>
      <c r="E35" s="4" t="s">
        <v>15</v>
      </c>
      <c r="F35" s="4" t="s">
        <v>28</v>
      </c>
      <c r="G35" s="4" t="s">
        <v>17</v>
      </c>
      <c r="H35" s="4" t="s">
        <v>18</v>
      </c>
      <c r="I35" s="4" t="s">
        <v>19</v>
      </c>
      <c r="J35" s="4" t="s">
        <v>20</v>
      </c>
      <c r="K35" s="4" t="s">
        <v>24</v>
      </c>
    </row>
    <row r="36">
      <c r="A36" s="6" t="str">
        <f>IFERROR(__xludf.DUMMYFUNCTION("FLATTEN(ARRAYFORMULA(INDEX(A31:A35,INT((SEQUENCE(COUNTA(A31:A35)*3,1,0)/3)+1))))"),"Claude")</f>
        <v>Claude</v>
      </c>
      <c r="B36" s="6" t="str">
        <f>IFERROR(__xludf.DUMMYFUNCTION("FLATTEN(ARRAYFORMULA(INDEX(B31:B35,INT((SEQUENCE(COUNTA(B31:B35)*5,1,0)/5)+1))))"),"Anthropic")</f>
        <v>Anthropic</v>
      </c>
      <c r="C36" s="5" t="s">
        <v>69</v>
      </c>
      <c r="D36" s="5" t="s">
        <v>75</v>
      </c>
      <c r="E36" s="4" t="s">
        <v>15</v>
      </c>
      <c r="F36" s="4" t="s">
        <v>16</v>
      </c>
      <c r="G36" s="4" t="s">
        <v>17</v>
      </c>
      <c r="H36" s="4" t="s">
        <v>18</v>
      </c>
      <c r="I36" s="4" t="s">
        <v>19</v>
      </c>
      <c r="J36" s="4" t="s">
        <v>20</v>
      </c>
      <c r="K36" s="4" t="s">
        <v>18</v>
      </c>
    </row>
    <row r="37">
      <c r="A37" s="6" t="str">
        <f>IFERROR(__xludf.DUMMYFUNCTION("FLATTEN(ARRAYFORMULA(INDEX(A32:A36,INT((SEQUENCE(COUNTA(A32:A36)*3,1,0)/3)+1))))"),"Grok")</f>
        <v>Grok</v>
      </c>
      <c r="B37" s="6" t="str">
        <f>IFERROR(__xludf.DUMMYFUNCTION("FLATTEN(ARRAYFORMULA(INDEX(B32:B36,INT((SEQUENCE(COUNTA(B32:B36)*5,1,0)/5)+1))))"),"Xai")</f>
        <v>Xai</v>
      </c>
      <c r="C37" s="5" t="s">
        <v>76</v>
      </c>
      <c r="D37" s="5" t="s">
        <v>77</v>
      </c>
      <c r="E37" s="4" t="s">
        <v>15</v>
      </c>
      <c r="F37" s="4" t="s">
        <v>28</v>
      </c>
      <c r="G37" s="4" t="s">
        <v>17</v>
      </c>
      <c r="H37" s="4" t="s">
        <v>18</v>
      </c>
      <c r="I37" s="4" t="s">
        <v>19</v>
      </c>
      <c r="J37" s="4" t="s">
        <v>34</v>
      </c>
      <c r="K37" s="4" t="s">
        <v>18</v>
      </c>
    </row>
    <row r="38">
      <c r="A38" s="6" t="str">
        <f>IFERROR(__xludf.DUMMYFUNCTION("FLATTEN(ARRAYFORMULA(INDEX(A33:A37,INT((SEQUENCE(COUNTA(A33:A37)*3,1,0)/3)+1))))"),"Gemini")</f>
        <v>Gemini</v>
      </c>
      <c r="B38" s="6" t="str">
        <f>IFERROR(__xludf.DUMMYFUNCTION("FLATTEN(ARRAYFORMULA(INDEX(B33:B37,INT((SEQUENCE(COUNTA(B33:B37)*5,1,0)/5)+1))))"),"Google")</f>
        <v>Google</v>
      </c>
      <c r="C38" s="5" t="s">
        <v>76</v>
      </c>
      <c r="D38" s="5" t="s">
        <v>78</v>
      </c>
      <c r="E38" s="4" t="s">
        <v>15</v>
      </c>
      <c r="F38" s="4" t="s">
        <v>28</v>
      </c>
      <c r="G38" s="4" t="s">
        <v>29</v>
      </c>
      <c r="H38" s="4" t="s">
        <v>18</v>
      </c>
      <c r="I38" s="4" t="s">
        <v>19</v>
      </c>
      <c r="J38" s="4" t="s">
        <v>20</v>
      </c>
      <c r="K38" s="4" t="s">
        <v>24</v>
      </c>
    </row>
    <row r="39">
      <c r="A39" s="6" t="str">
        <f>IFERROR(__xludf.DUMMYFUNCTION("FLATTEN(ARRAYFORMULA(INDEX(A34:A38,INT((SEQUENCE(COUNTA(A34:A38)*3,1,0)/3)+1))))"),"Chat GPT")</f>
        <v>Chat GPT</v>
      </c>
      <c r="B39" s="6" t="str">
        <f>IFERROR(__xludf.DUMMYFUNCTION("FLATTEN(ARRAYFORMULA(INDEX(B34:B38,INT((SEQUENCE(COUNTA(B34:B38)*5,1,0)/5)+1))))"),"Open AI")</f>
        <v>Open AI</v>
      </c>
      <c r="C39" s="5" t="s">
        <v>76</v>
      </c>
      <c r="D39" s="5" t="s">
        <v>79</v>
      </c>
      <c r="E39" s="4" t="s">
        <v>15</v>
      </c>
      <c r="F39" s="4" t="s">
        <v>28</v>
      </c>
      <c r="G39" s="4" t="s">
        <v>29</v>
      </c>
      <c r="H39" s="4" t="s">
        <v>18</v>
      </c>
      <c r="I39" s="4" t="s">
        <v>73</v>
      </c>
      <c r="J39" s="4" t="s">
        <v>20</v>
      </c>
      <c r="K39" s="4" t="s">
        <v>18</v>
      </c>
    </row>
    <row r="40">
      <c r="A40" s="6" t="str">
        <f>IFERROR(__xludf.DUMMYFUNCTION("FLATTEN(ARRAYFORMULA(INDEX(A35:A39,INT((SEQUENCE(COUNTA(A35:A39)*3,1,0)/3)+1))))"),"Perplexity AI")</f>
        <v>Perplexity AI</v>
      </c>
      <c r="B40" s="6" t="str">
        <f>IFERROR(__xludf.DUMMYFUNCTION("FLATTEN(ARRAYFORMULA(INDEX(B35:B39,INT((SEQUENCE(COUNTA(B35:B39)*5,1,0)/5)+1))))"),"Perplexity AI, Inc.")</f>
        <v>Perplexity AI, Inc.</v>
      </c>
      <c r="C40" s="5" t="s">
        <v>76</v>
      </c>
      <c r="D40" s="5" t="s">
        <v>80</v>
      </c>
      <c r="E40" s="4" t="s">
        <v>15</v>
      </c>
      <c r="F40" s="4" t="s">
        <v>28</v>
      </c>
      <c r="G40" s="4" t="s">
        <v>17</v>
      </c>
      <c r="H40" s="4" t="s">
        <v>18</v>
      </c>
      <c r="I40" s="4" t="s">
        <v>19</v>
      </c>
      <c r="J40" s="4" t="s">
        <v>20</v>
      </c>
      <c r="K40" s="4" t="s">
        <v>24</v>
      </c>
    </row>
    <row r="41">
      <c r="A41" s="6" t="str">
        <f>IFERROR(__xludf.DUMMYFUNCTION("FLATTEN(ARRAYFORMULA(INDEX(A36:A40,INT((SEQUENCE(COUNTA(A36:A40)*3,1,0)/3)+1))))"),"Claude")</f>
        <v>Claude</v>
      </c>
      <c r="B41" s="6" t="str">
        <f>IFERROR(__xludf.DUMMYFUNCTION("FLATTEN(ARRAYFORMULA(INDEX(B36:B40,INT((SEQUENCE(COUNTA(B36:B40)*5,1,0)/5)+1))))"),"Anthropic")</f>
        <v>Anthropic</v>
      </c>
      <c r="C41" s="5" t="s">
        <v>76</v>
      </c>
      <c r="D41" s="5" t="s">
        <v>81</v>
      </c>
      <c r="E41" s="4" t="s">
        <v>15</v>
      </c>
      <c r="F41" s="4" t="s">
        <v>28</v>
      </c>
      <c r="G41" s="4" t="s">
        <v>29</v>
      </c>
      <c r="H41" s="4" t="s">
        <v>18</v>
      </c>
      <c r="I41" s="4" t="s">
        <v>19</v>
      </c>
      <c r="J41" s="4" t="s">
        <v>20</v>
      </c>
      <c r="K41" s="4" t="s">
        <v>18</v>
      </c>
    </row>
    <row r="42">
      <c r="A42" s="6" t="str">
        <f>IFERROR(__xludf.DUMMYFUNCTION("FLATTEN(ARRAYFORMULA(INDEX(A37:A41,INT((SEQUENCE(COUNTA(A37:A41)*3,1,0)/3)+1))))"),"Grok")</f>
        <v>Grok</v>
      </c>
      <c r="B42" s="6" t="str">
        <f>IFERROR(__xludf.DUMMYFUNCTION("FLATTEN(ARRAYFORMULA(INDEX(B37:B41,INT((SEQUENCE(COUNTA(B37:B41)*5,1,0)/5)+1))))"),"Xai")</f>
        <v>Xai</v>
      </c>
      <c r="C42" s="4" t="s">
        <v>82</v>
      </c>
      <c r="D42" s="5" t="s">
        <v>83</v>
      </c>
      <c r="E42" s="4" t="s">
        <v>15</v>
      </c>
      <c r="F42" s="4" t="s">
        <v>16</v>
      </c>
      <c r="G42" s="4" t="s">
        <v>17</v>
      </c>
      <c r="H42" s="4" t="s">
        <v>18</v>
      </c>
      <c r="I42" s="4" t="s">
        <v>19</v>
      </c>
      <c r="J42" s="4" t="s">
        <v>34</v>
      </c>
      <c r="K42" s="4" t="s">
        <v>18</v>
      </c>
    </row>
    <row r="43">
      <c r="A43" s="6" t="str">
        <f>IFERROR(__xludf.DUMMYFUNCTION("FLATTEN(ARRAYFORMULA(INDEX(A38:A42,INT((SEQUENCE(COUNTA(A38:A42)*3,1,0)/3)+1))))"),"Gemini")</f>
        <v>Gemini</v>
      </c>
      <c r="B43" s="6" t="str">
        <f>IFERROR(__xludf.DUMMYFUNCTION("FLATTEN(ARRAYFORMULA(INDEX(B38:B42,INT((SEQUENCE(COUNTA(B38:B42)*5,1,0)/5)+1))))"),"Google")</f>
        <v>Google</v>
      </c>
      <c r="C43" s="4" t="s">
        <v>82</v>
      </c>
      <c r="D43" s="5" t="s">
        <v>84</v>
      </c>
      <c r="E43" s="4" t="s">
        <v>15</v>
      </c>
      <c r="F43" s="4" t="s">
        <v>16</v>
      </c>
      <c r="G43" s="4" t="s">
        <v>17</v>
      </c>
      <c r="H43" s="4" t="s">
        <v>18</v>
      </c>
      <c r="I43" s="4" t="s">
        <v>19</v>
      </c>
      <c r="J43" s="4" t="s">
        <v>20</v>
      </c>
      <c r="K43" s="4" t="s">
        <v>24</v>
      </c>
    </row>
    <row r="44">
      <c r="A44" s="6" t="str">
        <f>IFERROR(__xludf.DUMMYFUNCTION("FLATTEN(ARRAYFORMULA(INDEX(A39:A43,INT((SEQUENCE(COUNTA(A39:A43)*3,1,0)/3)+1))))"),"Chat GPT")</f>
        <v>Chat GPT</v>
      </c>
      <c r="B44" s="6" t="str">
        <f>IFERROR(__xludf.DUMMYFUNCTION("FLATTEN(ARRAYFORMULA(INDEX(B39:B43,INT((SEQUENCE(COUNTA(B39:B43)*5,1,0)/5)+1))))"),"Open AI")</f>
        <v>Open AI</v>
      </c>
      <c r="C44" s="4" t="s">
        <v>82</v>
      </c>
      <c r="D44" s="5" t="s">
        <v>85</v>
      </c>
      <c r="E44" s="4" t="s">
        <v>15</v>
      </c>
      <c r="F44" s="4" t="s">
        <v>16</v>
      </c>
      <c r="G44" s="4" t="s">
        <v>29</v>
      </c>
      <c r="H44" s="4" t="s">
        <v>18</v>
      </c>
      <c r="I44" s="4" t="s">
        <v>19</v>
      </c>
      <c r="J44" s="4" t="s">
        <v>20</v>
      </c>
      <c r="K44" s="4" t="s">
        <v>18</v>
      </c>
    </row>
    <row r="45">
      <c r="A45" s="6" t="str">
        <f>IFERROR(__xludf.DUMMYFUNCTION("FLATTEN(ARRAYFORMULA(INDEX(A40:A44,INT((SEQUENCE(COUNTA(A40:A44)*3,1,0)/3)+1))))"),"Perplexity AI")</f>
        <v>Perplexity AI</v>
      </c>
      <c r="B45" s="6" t="str">
        <f>IFERROR(__xludf.DUMMYFUNCTION("FLATTEN(ARRAYFORMULA(INDEX(B40:B44,INT((SEQUENCE(COUNTA(B40:B44)*5,1,0)/5)+1))))"),"Perplexity AI, Inc.")</f>
        <v>Perplexity AI, Inc.</v>
      </c>
      <c r="C45" s="4" t="s">
        <v>82</v>
      </c>
      <c r="D45" s="5" t="s">
        <v>86</v>
      </c>
      <c r="E45" s="4" t="s">
        <v>15</v>
      </c>
      <c r="F45" s="4" t="s">
        <v>16</v>
      </c>
      <c r="G45" s="4" t="s">
        <v>17</v>
      </c>
      <c r="H45" s="4" t="s">
        <v>18</v>
      </c>
      <c r="I45" s="4" t="s">
        <v>19</v>
      </c>
      <c r="J45" s="4" t="s">
        <v>20</v>
      </c>
      <c r="K45" s="4" t="s">
        <v>24</v>
      </c>
    </row>
    <row r="46">
      <c r="A46" s="6" t="str">
        <f>IFERROR(__xludf.DUMMYFUNCTION("FLATTEN(ARRAYFORMULA(INDEX(A41:A45,INT((SEQUENCE(COUNTA(A41:A45)*3,1,0)/3)+1))))"),"Claude")</f>
        <v>Claude</v>
      </c>
      <c r="B46" s="6" t="str">
        <f>IFERROR(__xludf.DUMMYFUNCTION("FLATTEN(ARRAYFORMULA(INDEX(B41:B45,INT((SEQUENCE(COUNTA(B41:B45)*5,1,0)/5)+1))))"),"Anthropic")</f>
        <v>Anthropic</v>
      </c>
      <c r="C46" s="4" t="s">
        <v>82</v>
      </c>
      <c r="D46" s="5" t="s">
        <v>87</v>
      </c>
      <c r="E46" s="4" t="s">
        <v>15</v>
      </c>
      <c r="F46" s="4" t="s">
        <v>16</v>
      </c>
      <c r="G46" s="4" t="s">
        <v>17</v>
      </c>
      <c r="H46" s="4" t="s">
        <v>18</v>
      </c>
      <c r="I46" s="4" t="s">
        <v>19</v>
      </c>
      <c r="J46" s="4" t="s">
        <v>34</v>
      </c>
      <c r="K46" s="4" t="s">
        <v>18</v>
      </c>
    </row>
    <row r="47">
      <c r="A47" s="6" t="str">
        <f>IFERROR(__xludf.DUMMYFUNCTION("FLATTEN(ARRAYFORMULA(INDEX(A42:A46,INT((SEQUENCE(COUNTA(A42:A46)*3,1,0)/3)+1))))"),"Grok")</f>
        <v>Grok</v>
      </c>
      <c r="B47" s="6" t="str">
        <f>IFERROR(__xludf.DUMMYFUNCTION("FLATTEN(ARRAYFORMULA(INDEX(B42:B46,INT((SEQUENCE(COUNTA(B42:B46)*5,1,0)/5)+1))))"),"Xai")</f>
        <v>Xai</v>
      </c>
      <c r="C47" s="5" t="s">
        <v>88</v>
      </c>
      <c r="D47" s="5" t="s">
        <v>89</v>
      </c>
      <c r="E47" s="4" t="s">
        <v>15</v>
      </c>
      <c r="F47" s="4" t="s">
        <v>16</v>
      </c>
      <c r="G47" s="4" t="s">
        <v>17</v>
      </c>
      <c r="H47" s="4" t="s">
        <v>18</v>
      </c>
      <c r="I47" s="4" t="s">
        <v>19</v>
      </c>
      <c r="J47" s="4" t="s">
        <v>34</v>
      </c>
      <c r="K47" s="4" t="s">
        <v>24</v>
      </c>
    </row>
    <row r="48">
      <c r="A48" s="6" t="str">
        <f>IFERROR(__xludf.DUMMYFUNCTION("FLATTEN(ARRAYFORMULA(INDEX(A43:A47,INT((SEQUENCE(COUNTA(A43:A47)*3,1,0)/3)+1))))"),"Gemini")</f>
        <v>Gemini</v>
      </c>
      <c r="B48" s="6" t="str">
        <f>IFERROR(__xludf.DUMMYFUNCTION("FLATTEN(ARRAYFORMULA(INDEX(B43:B47,INT((SEQUENCE(COUNTA(B43:B47)*5,1,0)/5)+1))))"),"Google")</f>
        <v>Google</v>
      </c>
      <c r="C48" s="5" t="s">
        <v>88</v>
      </c>
      <c r="D48" s="5" t="s">
        <v>90</v>
      </c>
      <c r="E48" s="4" t="s">
        <v>15</v>
      </c>
      <c r="F48" s="4" t="s">
        <v>16</v>
      </c>
      <c r="G48" s="4" t="s">
        <v>17</v>
      </c>
      <c r="H48" s="4" t="s">
        <v>18</v>
      </c>
      <c r="I48" s="4" t="s">
        <v>19</v>
      </c>
      <c r="J48" s="4" t="s">
        <v>20</v>
      </c>
      <c r="K48" s="4" t="s">
        <v>24</v>
      </c>
    </row>
    <row r="49">
      <c r="A49" s="6" t="str">
        <f>IFERROR(__xludf.DUMMYFUNCTION("FLATTEN(ARRAYFORMULA(INDEX(A44:A48,INT((SEQUENCE(COUNTA(A44:A48)*3,1,0)/3)+1))))"),"Chat GPT")</f>
        <v>Chat GPT</v>
      </c>
      <c r="B49" s="6" t="str">
        <f>IFERROR(__xludf.DUMMYFUNCTION("FLATTEN(ARRAYFORMULA(INDEX(B44:B48,INT((SEQUENCE(COUNTA(B44:B48)*5,1,0)/5)+1))))"),"Open AI")</f>
        <v>Open AI</v>
      </c>
      <c r="C49" s="5" t="s">
        <v>88</v>
      </c>
      <c r="D49" s="5" t="s">
        <v>91</v>
      </c>
      <c r="E49" s="4" t="s">
        <v>15</v>
      </c>
      <c r="F49" s="4" t="s">
        <v>28</v>
      </c>
      <c r="G49" s="4" t="s">
        <v>29</v>
      </c>
      <c r="H49" s="4" t="s">
        <v>18</v>
      </c>
      <c r="I49" s="4" t="s">
        <v>19</v>
      </c>
      <c r="J49" s="4" t="s">
        <v>20</v>
      </c>
      <c r="K49" s="4" t="s">
        <v>18</v>
      </c>
    </row>
    <row r="50">
      <c r="A50" s="6" t="str">
        <f>IFERROR(__xludf.DUMMYFUNCTION("FLATTEN(ARRAYFORMULA(INDEX(A45:A49,INT((SEQUENCE(COUNTA(A45:A49)*3,1,0)/3)+1))))"),"Perplexity AI")</f>
        <v>Perplexity AI</v>
      </c>
      <c r="B50" s="6" t="str">
        <f>IFERROR(__xludf.DUMMYFUNCTION("FLATTEN(ARRAYFORMULA(INDEX(B45:B49,INT((SEQUENCE(COUNTA(B45:B49)*5,1,0)/5)+1))))"),"Perplexity AI, Inc.")</f>
        <v>Perplexity AI, Inc.</v>
      </c>
      <c r="C50" s="5" t="s">
        <v>88</v>
      </c>
      <c r="D50" s="5" t="s">
        <v>92</v>
      </c>
      <c r="E50" s="4" t="s">
        <v>15</v>
      </c>
      <c r="F50" s="4" t="s">
        <v>28</v>
      </c>
      <c r="G50" s="4" t="s">
        <v>17</v>
      </c>
      <c r="H50" s="4" t="s">
        <v>18</v>
      </c>
      <c r="I50" s="4" t="s">
        <v>19</v>
      </c>
      <c r="J50" s="4" t="s">
        <v>20</v>
      </c>
      <c r="K50" s="4" t="s">
        <v>24</v>
      </c>
    </row>
    <row r="51">
      <c r="A51" s="6" t="str">
        <f>IFERROR(__xludf.DUMMYFUNCTION("FLATTEN(ARRAYFORMULA(INDEX(A46:A50,INT((SEQUENCE(COUNTA(A46:A50)*3,1,0)/3)+1))))"),"Claude")</f>
        <v>Claude</v>
      </c>
      <c r="B51" s="6" t="str">
        <f>IFERROR(__xludf.DUMMYFUNCTION("FLATTEN(ARRAYFORMULA(INDEX(B46:B50,INT((SEQUENCE(COUNTA(B46:B50)*5,1,0)/5)+1))))"),"Anthropic")</f>
        <v>Anthropic</v>
      </c>
      <c r="C51" s="5" t="s">
        <v>88</v>
      </c>
      <c r="D51" s="5" t="s">
        <v>93</v>
      </c>
      <c r="E51" s="4" t="s">
        <v>15</v>
      </c>
      <c r="F51" s="4" t="s">
        <v>16</v>
      </c>
      <c r="G51" s="4" t="s">
        <v>17</v>
      </c>
      <c r="H51" s="4" t="s">
        <v>18</v>
      </c>
      <c r="I51" s="4" t="s">
        <v>19</v>
      </c>
      <c r="J51" s="4" t="s">
        <v>34</v>
      </c>
      <c r="K51" s="4" t="s">
        <v>18</v>
      </c>
    </row>
    <row r="52">
      <c r="A52" s="6" t="str">
        <f>IFERROR(__xludf.DUMMYFUNCTION("FLATTEN(ARRAYFORMULA(INDEX(A47:A51,INT((SEQUENCE(COUNTA(A47:A51)*3,1,0)/3)+1))))"),"Grok")</f>
        <v>Grok</v>
      </c>
      <c r="B52" s="6" t="str">
        <f>IFERROR(__xludf.DUMMYFUNCTION("FLATTEN(ARRAYFORMULA(INDEX(B47:B51,INT((SEQUENCE(COUNTA(B47:B51)*5,1,0)/5)+1))))"),"Xai")</f>
        <v>Xai</v>
      </c>
      <c r="C52" s="5" t="s">
        <v>94</v>
      </c>
      <c r="D52" s="5" t="s">
        <v>95</v>
      </c>
      <c r="E52" s="4" t="s">
        <v>96</v>
      </c>
      <c r="F52" s="4" t="s">
        <v>28</v>
      </c>
      <c r="G52" s="4" t="s">
        <v>17</v>
      </c>
      <c r="H52" s="4" t="s">
        <v>18</v>
      </c>
      <c r="I52" s="4" t="s">
        <v>19</v>
      </c>
      <c r="J52" s="4" t="s">
        <v>20</v>
      </c>
      <c r="K52" s="4" t="s">
        <v>18</v>
      </c>
    </row>
    <row r="53">
      <c r="A53" s="6" t="str">
        <f>IFERROR(__xludf.DUMMYFUNCTION("FLATTEN(ARRAYFORMULA(INDEX(A48:A52,INT((SEQUENCE(COUNTA(A48:A52)*3,1,0)/3)+1))))"),"Gemini")</f>
        <v>Gemini</v>
      </c>
      <c r="B53" s="6" t="str">
        <f>IFERROR(__xludf.DUMMYFUNCTION("FLATTEN(ARRAYFORMULA(INDEX(B48:B52,INT((SEQUENCE(COUNTA(B48:B52)*5,1,0)/5)+1))))"),"Google")</f>
        <v>Google</v>
      </c>
      <c r="C53" s="5" t="s">
        <v>94</v>
      </c>
      <c r="D53" s="5" t="s">
        <v>97</v>
      </c>
      <c r="E53" s="4" t="s">
        <v>96</v>
      </c>
      <c r="F53" s="4" t="s">
        <v>28</v>
      </c>
      <c r="G53" s="4" t="s">
        <v>29</v>
      </c>
      <c r="H53" s="4" t="s">
        <v>18</v>
      </c>
      <c r="I53" s="4" t="s">
        <v>19</v>
      </c>
      <c r="J53" s="4" t="s">
        <v>20</v>
      </c>
      <c r="K53" s="4" t="s">
        <v>24</v>
      </c>
    </row>
    <row r="54">
      <c r="A54" s="6" t="str">
        <f>IFERROR(__xludf.DUMMYFUNCTION("FLATTEN(ARRAYFORMULA(INDEX(A49:A53,INT((SEQUENCE(COUNTA(A49:A53)*3,1,0)/3)+1))))"),"Chat GPT")</f>
        <v>Chat GPT</v>
      </c>
      <c r="B54" s="6" t="str">
        <f>IFERROR(__xludf.DUMMYFUNCTION("FLATTEN(ARRAYFORMULA(INDEX(B49:B53,INT((SEQUENCE(COUNTA(B49:B53)*5,1,0)/5)+1))))"),"Open AI")</f>
        <v>Open AI</v>
      </c>
      <c r="C54" s="5" t="s">
        <v>94</v>
      </c>
      <c r="D54" s="5" t="s">
        <v>98</v>
      </c>
      <c r="E54" s="4" t="s">
        <v>96</v>
      </c>
      <c r="F54" s="4" t="s">
        <v>28</v>
      </c>
      <c r="G54" s="4" t="s">
        <v>29</v>
      </c>
      <c r="H54" s="4" t="s">
        <v>18</v>
      </c>
      <c r="I54" s="4" t="s">
        <v>73</v>
      </c>
      <c r="J54" s="4" t="s">
        <v>20</v>
      </c>
      <c r="K54" s="4" t="s">
        <v>18</v>
      </c>
    </row>
    <row r="55">
      <c r="A55" s="6" t="str">
        <f>IFERROR(__xludf.DUMMYFUNCTION("FLATTEN(ARRAYFORMULA(INDEX(A50:A54,INT((SEQUENCE(COUNTA(A50:A54)*3,1,0)/3)+1))))"),"Perplexity AI")</f>
        <v>Perplexity AI</v>
      </c>
      <c r="B55" s="6" t="str">
        <f>IFERROR(__xludf.DUMMYFUNCTION("FLATTEN(ARRAYFORMULA(INDEX(B50:B54,INT((SEQUENCE(COUNTA(B50:B54)*5,1,0)/5)+1))))"),"Perplexity AI, Inc.")</f>
        <v>Perplexity AI, Inc.</v>
      </c>
      <c r="C55" s="5" t="s">
        <v>94</v>
      </c>
      <c r="D55" s="5" t="s">
        <v>99</v>
      </c>
      <c r="E55" s="4" t="s">
        <v>96</v>
      </c>
      <c r="F55" s="4" t="s">
        <v>16</v>
      </c>
      <c r="G55" s="4" t="s">
        <v>17</v>
      </c>
      <c r="H55" s="4" t="s">
        <v>18</v>
      </c>
      <c r="I55" s="4" t="s">
        <v>19</v>
      </c>
      <c r="J55" s="4" t="s">
        <v>20</v>
      </c>
      <c r="K55" s="4" t="s">
        <v>24</v>
      </c>
    </row>
    <row r="56">
      <c r="A56" s="6" t="str">
        <f>IFERROR(__xludf.DUMMYFUNCTION("FLATTEN(ARRAYFORMULA(INDEX(A51:A55,INT((SEQUENCE(COUNTA(A51:A55)*3,1,0)/3)+1))))"),"Claude")</f>
        <v>Claude</v>
      </c>
      <c r="B56" s="6" t="str">
        <f>IFERROR(__xludf.DUMMYFUNCTION("FLATTEN(ARRAYFORMULA(INDEX(B51:B55,INT((SEQUENCE(COUNTA(B51:B55)*5,1,0)/5)+1))))"),"Anthropic")</f>
        <v>Anthropic</v>
      </c>
      <c r="C56" s="5" t="s">
        <v>94</v>
      </c>
      <c r="D56" s="5" t="s">
        <v>100</v>
      </c>
      <c r="E56" s="4" t="s">
        <v>96</v>
      </c>
      <c r="F56" s="4" t="s">
        <v>16</v>
      </c>
      <c r="G56" s="4" t="s">
        <v>29</v>
      </c>
      <c r="H56" s="4" t="s">
        <v>18</v>
      </c>
      <c r="I56" s="4" t="s">
        <v>19</v>
      </c>
      <c r="J56" s="4" t="s">
        <v>20</v>
      </c>
      <c r="K56" s="4" t="s">
        <v>18</v>
      </c>
    </row>
    <row r="57">
      <c r="A57" s="6" t="str">
        <f>IFERROR(__xludf.DUMMYFUNCTION("FLATTEN(ARRAYFORMULA(INDEX(A52:A56,INT((SEQUENCE(COUNTA(A52:A56)*3,1,0)/3)+1))))"),"Grok")</f>
        <v>Grok</v>
      </c>
      <c r="B57" s="6" t="str">
        <f>IFERROR(__xludf.DUMMYFUNCTION("FLATTEN(ARRAYFORMULA(INDEX(B52:B56,INT((SEQUENCE(COUNTA(B52:B56)*5,1,0)/5)+1))))"),"Xai")</f>
        <v>Xai</v>
      </c>
      <c r="C57" s="5" t="s">
        <v>101</v>
      </c>
      <c r="D57" s="5" t="s">
        <v>102</v>
      </c>
      <c r="E57" s="4" t="s">
        <v>96</v>
      </c>
      <c r="F57" s="4" t="s">
        <v>28</v>
      </c>
      <c r="G57" s="4" t="s">
        <v>29</v>
      </c>
      <c r="H57" s="4" t="s">
        <v>18</v>
      </c>
      <c r="I57" s="4" t="s">
        <v>19</v>
      </c>
      <c r="J57" s="4" t="s">
        <v>20</v>
      </c>
      <c r="K57" s="4" t="s">
        <v>18</v>
      </c>
    </row>
    <row r="58">
      <c r="A58" s="6" t="str">
        <f>IFERROR(__xludf.DUMMYFUNCTION("FLATTEN(ARRAYFORMULA(INDEX(A53:A57,INT((SEQUENCE(COUNTA(A53:A57)*3,1,0)/3)+1))))"),"Gemini")</f>
        <v>Gemini</v>
      </c>
      <c r="B58" s="6" t="str">
        <f>IFERROR(__xludf.DUMMYFUNCTION("FLATTEN(ARRAYFORMULA(INDEX(B53:B57,INT((SEQUENCE(COUNTA(B53:B57)*5,1,0)/5)+1))))"),"Google")</f>
        <v>Google</v>
      </c>
      <c r="C58" s="5" t="s">
        <v>101</v>
      </c>
      <c r="D58" s="7" t="s">
        <v>103</v>
      </c>
      <c r="E58" s="4" t="s">
        <v>96</v>
      </c>
      <c r="F58" s="4" t="s">
        <v>28</v>
      </c>
      <c r="G58" s="4" t="s">
        <v>29</v>
      </c>
      <c r="H58" s="4" t="s">
        <v>24</v>
      </c>
      <c r="I58" s="4" t="s">
        <v>19</v>
      </c>
      <c r="J58" s="4" t="s">
        <v>20</v>
      </c>
      <c r="K58" s="4" t="s">
        <v>24</v>
      </c>
    </row>
    <row r="59">
      <c r="A59" s="6" t="str">
        <f>IFERROR(__xludf.DUMMYFUNCTION("FLATTEN(ARRAYFORMULA(INDEX(A54:A58,INT((SEQUENCE(COUNTA(A54:A58)*3,1,0)/3)+1))))"),"Chat GPT")</f>
        <v>Chat GPT</v>
      </c>
      <c r="B59" s="6" t="str">
        <f>IFERROR(__xludf.DUMMYFUNCTION("FLATTEN(ARRAYFORMULA(INDEX(B54:B58,INT((SEQUENCE(COUNTA(B54:B58)*5,1,0)/5)+1))))"),"Open AI")</f>
        <v>Open AI</v>
      </c>
      <c r="C59" s="5" t="s">
        <v>101</v>
      </c>
      <c r="D59" s="5" t="s">
        <v>104</v>
      </c>
      <c r="E59" s="4" t="s">
        <v>96</v>
      </c>
      <c r="F59" s="4" t="s">
        <v>16</v>
      </c>
      <c r="G59" s="4" t="s">
        <v>29</v>
      </c>
      <c r="H59" s="4" t="s">
        <v>18</v>
      </c>
      <c r="I59" s="4" t="s">
        <v>19</v>
      </c>
      <c r="J59" s="4" t="s">
        <v>20</v>
      </c>
      <c r="K59" s="4" t="s">
        <v>18</v>
      </c>
    </row>
    <row r="60">
      <c r="A60" s="6" t="str">
        <f>IFERROR(__xludf.DUMMYFUNCTION("FLATTEN(ARRAYFORMULA(INDEX(A55:A59,INT((SEQUENCE(COUNTA(A55:A59)*3,1,0)/3)+1))))"),"Perplexity AI")</f>
        <v>Perplexity AI</v>
      </c>
      <c r="B60" s="6" t="str">
        <f>IFERROR(__xludf.DUMMYFUNCTION("FLATTEN(ARRAYFORMULA(INDEX(B55:B59,INT((SEQUENCE(COUNTA(B55:B59)*5,1,0)/5)+1))))"),"Perplexity AI, Inc.")</f>
        <v>Perplexity AI, Inc.</v>
      </c>
      <c r="C60" s="5" t="s">
        <v>101</v>
      </c>
      <c r="D60" s="5" t="s">
        <v>105</v>
      </c>
      <c r="E60" s="4" t="s">
        <v>96</v>
      </c>
      <c r="F60" s="4" t="s">
        <v>28</v>
      </c>
      <c r="G60" s="4" t="s">
        <v>29</v>
      </c>
      <c r="H60" s="4" t="s">
        <v>18</v>
      </c>
      <c r="I60" s="4" t="s">
        <v>19</v>
      </c>
      <c r="J60" s="4" t="s">
        <v>20</v>
      </c>
      <c r="K60" s="4" t="s">
        <v>24</v>
      </c>
    </row>
    <row r="61">
      <c r="A61" s="6" t="str">
        <f>IFERROR(__xludf.DUMMYFUNCTION("FLATTEN(ARRAYFORMULA(INDEX(A56:A60,INT((SEQUENCE(COUNTA(A56:A60)*3,1,0)/3)+1))))"),"Claude")</f>
        <v>Claude</v>
      </c>
      <c r="B61" s="6" t="str">
        <f>IFERROR(__xludf.DUMMYFUNCTION("FLATTEN(ARRAYFORMULA(INDEX(B56:B60,INT((SEQUENCE(COUNTA(B56:B60)*5,1,0)/5)+1))))"),"Anthropic")</f>
        <v>Anthropic</v>
      </c>
      <c r="C61" s="5" t="s">
        <v>101</v>
      </c>
      <c r="D61" s="5" t="s">
        <v>106</v>
      </c>
      <c r="E61" s="4" t="s">
        <v>96</v>
      </c>
      <c r="F61" s="4" t="s">
        <v>16</v>
      </c>
      <c r="G61" s="4" t="s">
        <v>29</v>
      </c>
      <c r="H61" s="4" t="s">
        <v>18</v>
      </c>
      <c r="I61" s="4" t="s">
        <v>19</v>
      </c>
      <c r="J61" s="4" t="s">
        <v>20</v>
      </c>
      <c r="K61" s="4" t="s">
        <v>18</v>
      </c>
    </row>
    <row r="62">
      <c r="A62" s="6" t="str">
        <f>IFERROR(__xludf.DUMMYFUNCTION("FLATTEN(ARRAYFORMULA(INDEX(A57:A61,INT((SEQUENCE(COUNTA(A57:A61)*3,1,0)/3)+1))))"),"Grok")</f>
        <v>Grok</v>
      </c>
      <c r="B62" s="6" t="str">
        <f>IFERROR(__xludf.DUMMYFUNCTION("FLATTEN(ARRAYFORMULA(INDEX(B57:B61,INT((SEQUENCE(COUNTA(B57:B61)*5,1,0)/5)+1))))"),"Xai")</f>
        <v>Xai</v>
      </c>
      <c r="C62" s="5" t="s">
        <v>107</v>
      </c>
      <c r="D62" s="5" t="s">
        <v>108</v>
      </c>
      <c r="E62" s="4" t="s">
        <v>96</v>
      </c>
      <c r="F62" s="4" t="s">
        <v>16</v>
      </c>
      <c r="G62" s="4" t="s">
        <v>17</v>
      </c>
      <c r="H62" s="4" t="s">
        <v>18</v>
      </c>
      <c r="I62" s="4" t="s">
        <v>19</v>
      </c>
      <c r="J62" s="4" t="s">
        <v>20</v>
      </c>
      <c r="K62" s="4" t="s">
        <v>18</v>
      </c>
    </row>
    <row r="63">
      <c r="A63" s="6" t="str">
        <f>IFERROR(__xludf.DUMMYFUNCTION("FLATTEN(ARRAYFORMULA(INDEX(A58:A62,INT((SEQUENCE(COUNTA(A58:A62)*3,1,0)/3)+1))))"),"Gemini")</f>
        <v>Gemini</v>
      </c>
      <c r="B63" s="6" t="str">
        <f>IFERROR(__xludf.DUMMYFUNCTION("FLATTEN(ARRAYFORMULA(INDEX(B58:B62,INT((SEQUENCE(COUNTA(B58:B62)*5,1,0)/5)+1))))"),"Google")</f>
        <v>Google</v>
      </c>
      <c r="C63" s="5" t="s">
        <v>107</v>
      </c>
      <c r="D63" s="5" t="s">
        <v>109</v>
      </c>
      <c r="E63" s="4" t="s">
        <v>96</v>
      </c>
      <c r="F63" s="4" t="s">
        <v>16</v>
      </c>
      <c r="G63" s="4" t="s">
        <v>17</v>
      </c>
      <c r="H63" s="4" t="s">
        <v>18</v>
      </c>
      <c r="I63" s="4" t="s">
        <v>19</v>
      </c>
      <c r="J63" s="4" t="s">
        <v>20</v>
      </c>
      <c r="K63" s="4" t="s">
        <v>24</v>
      </c>
    </row>
    <row r="64">
      <c r="A64" s="6" t="str">
        <f>IFERROR(__xludf.DUMMYFUNCTION("FLATTEN(ARRAYFORMULA(INDEX(A59:A63,INT((SEQUENCE(COUNTA(A59:A63)*3,1,0)/3)+1))))"),"Chat GPT")</f>
        <v>Chat GPT</v>
      </c>
      <c r="B64" s="6" t="str">
        <f>IFERROR(__xludf.DUMMYFUNCTION("FLATTEN(ARRAYFORMULA(INDEX(B59:B63,INT((SEQUENCE(COUNTA(B59:B63)*5,1,0)/5)+1))))"),"Open AI")</f>
        <v>Open AI</v>
      </c>
      <c r="C64" s="5" t="s">
        <v>107</v>
      </c>
      <c r="D64" s="5" t="s">
        <v>110</v>
      </c>
      <c r="E64" s="4" t="s">
        <v>96</v>
      </c>
      <c r="F64" s="4" t="s">
        <v>16</v>
      </c>
      <c r="G64" s="4" t="s">
        <v>29</v>
      </c>
      <c r="H64" s="4" t="s">
        <v>18</v>
      </c>
      <c r="I64" s="4" t="s">
        <v>19</v>
      </c>
      <c r="J64" s="4" t="s">
        <v>20</v>
      </c>
      <c r="K64" s="4" t="s">
        <v>18</v>
      </c>
    </row>
    <row r="65">
      <c r="A65" s="6" t="str">
        <f>IFERROR(__xludf.DUMMYFUNCTION("FLATTEN(ARRAYFORMULA(INDEX(A60:A64,INT((SEQUENCE(COUNTA(A60:A64)*3,1,0)/3)+1))))"),"Perplexity AI")</f>
        <v>Perplexity AI</v>
      </c>
      <c r="B65" s="6" t="str">
        <f>IFERROR(__xludf.DUMMYFUNCTION("FLATTEN(ARRAYFORMULA(INDEX(B60:B64,INT((SEQUENCE(COUNTA(B60:B64)*5,1,0)/5)+1))))"),"Perplexity AI, Inc.")</f>
        <v>Perplexity AI, Inc.</v>
      </c>
      <c r="C65" s="5" t="s">
        <v>107</v>
      </c>
      <c r="D65" s="5" t="s">
        <v>111</v>
      </c>
      <c r="E65" s="4" t="s">
        <v>96</v>
      </c>
      <c r="F65" s="4" t="s">
        <v>28</v>
      </c>
      <c r="G65" s="4" t="s">
        <v>29</v>
      </c>
      <c r="H65" s="4" t="s">
        <v>18</v>
      </c>
      <c r="I65" s="4" t="s">
        <v>19</v>
      </c>
      <c r="J65" s="4" t="s">
        <v>20</v>
      </c>
      <c r="K65" s="4" t="s">
        <v>24</v>
      </c>
    </row>
    <row r="66">
      <c r="A66" s="6" t="str">
        <f>IFERROR(__xludf.DUMMYFUNCTION("FLATTEN(ARRAYFORMULA(INDEX(A61:A65,INT((SEQUENCE(COUNTA(A61:A65)*3,1,0)/3)+1))))"),"Claude")</f>
        <v>Claude</v>
      </c>
      <c r="B66" s="6" t="str">
        <f>IFERROR(__xludf.DUMMYFUNCTION("FLATTEN(ARRAYFORMULA(INDEX(B61:B65,INT((SEQUENCE(COUNTA(B61:B65)*5,1,0)/5)+1))))"),"Anthropic")</f>
        <v>Anthropic</v>
      </c>
      <c r="C66" s="5" t="s">
        <v>107</v>
      </c>
      <c r="D66" s="5" t="s">
        <v>112</v>
      </c>
      <c r="E66" s="4" t="s">
        <v>96</v>
      </c>
      <c r="F66" s="4" t="s">
        <v>16</v>
      </c>
      <c r="G66" s="4" t="s">
        <v>17</v>
      </c>
      <c r="H66" s="4" t="s">
        <v>18</v>
      </c>
      <c r="I66" s="4" t="s">
        <v>19</v>
      </c>
      <c r="J66" s="4" t="s">
        <v>20</v>
      </c>
      <c r="K66" s="4" t="s">
        <v>18</v>
      </c>
    </row>
    <row r="67">
      <c r="A67" s="6" t="str">
        <f>IFERROR(__xludf.DUMMYFUNCTION("FLATTEN(ARRAYFORMULA(INDEX(A62:A66,INT((SEQUENCE(COUNTA(A62:A66)*3,1,0)/3)+1))))"),"Grok")</f>
        <v>Grok</v>
      </c>
      <c r="B67" s="6" t="str">
        <f>IFERROR(__xludf.DUMMYFUNCTION("FLATTEN(ARRAYFORMULA(INDEX(B62:B66,INT((SEQUENCE(COUNTA(B62:B66)*5,1,0)/5)+1))))"),"Xai")</f>
        <v>Xai</v>
      </c>
      <c r="C67" s="5" t="s">
        <v>113</v>
      </c>
      <c r="D67" s="5" t="s">
        <v>114</v>
      </c>
      <c r="E67" s="4" t="s">
        <v>96</v>
      </c>
      <c r="F67" s="4" t="s">
        <v>16</v>
      </c>
      <c r="G67" s="4" t="s">
        <v>33</v>
      </c>
      <c r="H67" s="4" t="s">
        <v>24</v>
      </c>
      <c r="I67" s="4" t="s">
        <v>19</v>
      </c>
      <c r="J67" s="4" t="s">
        <v>34</v>
      </c>
      <c r="K67" s="4" t="s">
        <v>24</v>
      </c>
    </row>
    <row r="68">
      <c r="A68" s="6" t="str">
        <f>IFERROR(__xludf.DUMMYFUNCTION("FLATTEN(ARRAYFORMULA(INDEX(A63:A67,INT((SEQUENCE(COUNTA(A63:A67)*3,1,0)/3)+1))))"),"Gemini")</f>
        <v>Gemini</v>
      </c>
      <c r="B68" s="6" t="str">
        <f>IFERROR(__xludf.DUMMYFUNCTION("FLATTEN(ARRAYFORMULA(INDEX(B63:B67,INT((SEQUENCE(COUNTA(B63:B67)*5,1,0)/5)+1))))"),"Google")</f>
        <v>Google</v>
      </c>
      <c r="C68" s="5" t="s">
        <v>113</v>
      </c>
      <c r="D68" s="5" t="s">
        <v>115</v>
      </c>
      <c r="E68" s="4" t="s">
        <v>96</v>
      </c>
      <c r="F68" s="4" t="s">
        <v>28</v>
      </c>
      <c r="G68" s="4" t="s">
        <v>17</v>
      </c>
      <c r="H68" s="4" t="s">
        <v>18</v>
      </c>
      <c r="I68" s="4" t="s">
        <v>19</v>
      </c>
      <c r="J68" s="4" t="s">
        <v>20</v>
      </c>
      <c r="K68" s="4" t="s">
        <v>24</v>
      </c>
    </row>
    <row r="69">
      <c r="A69" s="6" t="str">
        <f>IFERROR(__xludf.DUMMYFUNCTION("FLATTEN(ARRAYFORMULA(INDEX(A64:A68,INT((SEQUENCE(COUNTA(A64:A68)*3,1,0)/3)+1))))"),"Chat GPT")</f>
        <v>Chat GPT</v>
      </c>
      <c r="B69" s="6" t="str">
        <f>IFERROR(__xludf.DUMMYFUNCTION("FLATTEN(ARRAYFORMULA(INDEX(B64:B68,INT((SEQUENCE(COUNTA(B64:B68)*5,1,0)/5)+1))))"),"Open AI")</f>
        <v>Open AI</v>
      </c>
      <c r="C69" s="5" t="s">
        <v>113</v>
      </c>
      <c r="D69" s="5" t="s">
        <v>116</v>
      </c>
      <c r="E69" s="4" t="s">
        <v>96</v>
      </c>
      <c r="F69" s="4" t="s">
        <v>16</v>
      </c>
      <c r="G69" s="4" t="s">
        <v>29</v>
      </c>
      <c r="H69" s="4" t="s">
        <v>18</v>
      </c>
      <c r="I69" s="4" t="s">
        <v>73</v>
      </c>
      <c r="J69" s="4" t="s">
        <v>20</v>
      </c>
      <c r="K69" s="4" t="s">
        <v>18</v>
      </c>
    </row>
    <row r="70">
      <c r="A70" s="6" t="str">
        <f>IFERROR(__xludf.DUMMYFUNCTION("FLATTEN(ARRAYFORMULA(INDEX(A65:A69,INT((SEQUENCE(COUNTA(A65:A69)*3,1,0)/3)+1))))"),"Perplexity AI")</f>
        <v>Perplexity AI</v>
      </c>
      <c r="B70" s="6" t="str">
        <f>IFERROR(__xludf.DUMMYFUNCTION("FLATTEN(ARRAYFORMULA(INDEX(B65:B69,INT((SEQUENCE(COUNTA(B65:B69)*5,1,0)/5)+1))))"),"Perplexity AI, Inc.")</f>
        <v>Perplexity AI, Inc.</v>
      </c>
      <c r="C70" s="5" t="s">
        <v>113</v>
      </c>
      <c r="D70" s="5" t="s">
        <v>117</v>
      </c>
      <c r="E70" s="4" t="s">
        <v>96</v>
      </c>
      <c r="F70" s="4" t="s">
        <v>46</v>
      </c>
      <c r="G70" s="4" t="s">
        <v>17</v>
      </c>
      <c r="H70" s="4" t="s">
        <v>18</v>
      </c>
      <c r="I70" s="4" t="s">
        <v>19</v>
      </c>
      <c r="J70" s="4" t="s">
        <v>20</v>
      </c>
      <c r="K70" s="4" t="s">
        <v>24</v>
      </c>
    </row>
    <row r="71">
      <c r="A71" s="6" t="str">
        <f>IFERROR(__xludf.DUMMYFUNCTION("FLATTEN(ARRAYFORMULA(INDEX(A66:A70,INT((SEQUENCE(COUNTA(A66:A70)*3,1,0)/3)+1))))"),"Claude")</f>
        <v>Claude</v>
      </c>
      <c r="B71" s="6" t="str">
        <f>IFERROR(__xludf.DUMMYFUNCTION("FLATTEN(ARRAYFORMULA(INDEX(B66:B70,INT((SEQUENCE(COUNTA(B66:B70)*5,1,0)/5)+1))))"),"Anthropic")</f>
        <v>Anthropic</v>
      </c>
      <c r="C71" s="5" t="s">
        <v>113</v>
      </c>
      <c r="D71" s="5" t="s">
        <v>118</v>
      </c>
      <c r="E71" s="4" t="s">
        <v>96</v>
      </c>
      <c r="F71" s="4" t="s">
        <v>16</v>
      </c>
      <c r="G71" s="4" t="s">
        <v>29</v>
      </c>
      <c r="H71" s="4" t="s">
        <v>18</v>
      </c>
      <c r="I71" s="4" t="s">
        <v>19</v>
      </c>
      <c r="J71" s="4" t="s">
        <v>20</v>
      </c>
      <c r="K71" s="4" t="s">
        <v>18</v>
      </c>
    </row>
    <row r="72">
      <c r="A72" s="6" t="str">
        <f>IFERROR(__xludf.DUMMYFUNCTION("FLATTEN(ARRAYFORMULA(INDEX(A67:A71,INT((SEQUENCE(COUNTA(A67:A71)*3,1,0)/3)+1))))"),"Grok")</f>
        <v>Grok</v>
      </c>
      <c r="B72" s="6" t="str">
        <f>IFERROR(__xludf.DUMMYFUNCTION("FLATTEN(ARRAYFORMULA(INDEX(B67:B71,INT((SEQUENCE(COUNTA(B67:B71)*5,1,0)/5)+1))))"),"Xai")</f>
        <v>Xai</v>
      </c>
      <c r="C72" s="5" t="s">
        <v>119</v>
      </c>
      <c r="D72" s="5" t="s">
        <v>120</v>
      </c>
      <c r="E72" s="4" t="s">
        <v>96</v>
      </c>
      <c r="F72" s="4" t="s">
        <v>16</v>
      </c>
      <c r="G72" s="4" t="s">
        <v>17</v>
      </c>
      <c r="H72" s="4" t="s">
        <v>24</v>
      </c>
      <c r="I72" s="4" t="s">
        <v>19</v>
      </c>
      <c r="J72" s="4" t="s">
        <v>34</v>
      </c>
      <c r="K72" s="4" t="s">
        <v>18</v>
      </c>
    </row>
    <row r="73">
      <c r="A73" s="6" t="str">
        <f>IFERROR(__xludf.DUMMYFUNCTION("FLATTEN(ARRAYFORMULA(INDEX(A68:A72,INT((SEQUENCE(COUNTA(A68:A72)*3,1,0)/3)+1))))"),"Gemini")</f>
        <v>Gemini</v>
      </c>
      <c r="B73" s="6" t="str">
        <f>IFERROR(__xludf.DUMMYFUNCTION("FLATTEN(ARRAYFORMULA(INDEX(B68:B72,INT((SEQUENCE(COUNTA(B68:B72)*5,1,0)/5)+1))))"),"Google")</f>
        <v>Google</v>
      </c>
      <c r="C73" s="5" t="s">
        <v>119</v>
      </c>
      <c r="D73" s="5" t="s">
        <v>121</v>
      </c>
      <c r="E73" s="4" t="s">
        <v>96</v>
      </c>
      <c r="F73" s="4" t="s">
        <v>46</v>
      </c>
      <c r="G73" s="4" t="s">
        <v>17</v>
      </c>
      <c r="H73" s="4" t="s">
        <v>18</v>
      </c>
      <c r="I73" s="4" t="s">
        <v>19</v>
      </c>
      <c r="J73" s="4" t="s">
        <v>122</v>
      </c>
      <c r="K73" s="4" t="s">
        <v>24</v>
      </c>
    </row>
    <row r="74">
      <c r="A74" s="6" t="str">
        <f>IFERROR(__xludf.DUMMYFUNCTION("FLATTEN(ARRAYFORMULA(INDEX(A69:A73,INT((SEQUENCE(COUNTA(A69:A73)*3,1,0)/3)+1))))"),"Chat GPT")</f>
        <v>Chat GPT</v>
      </c>
      <c r="B74" s="6" t="str">
        <f>IFERROR(__xludf.DUMMYFUNCTION("FLATTEN(ARRAYFORMULA(INDEX(B69:B73,INT((SEQUENCE(COUNTA(B69:B73)*5,1,0)/5)+1))))"),"Open AI")</f>
        <v>Open AI</v>
      </c>
      <c r="C74" s="5" t="s">
        <v>119</v>
      </c>
      <c r="D74" s="5" t="s">
        <v>123</v>
      </c>
      <c r="E74" s="4" t="s">
        <v>96</v>
      </c>
      <c r="F74" s="4" t="s">
        <v>28</v>
      </c>
      <c r="G74" s="4" t="s">
        <v>29</v>
      </c>
      <c r="H74" s="4" t="s">
        <v>18</v>
      </c>
      <c r="I74" s="4" t="s">
        <v>19</v>
      </c>
      <c r="J74" s="4" t="s">
        <v>20</v>
      </c>
      <c r="K74" s="4" t="s">
        <v>18</v>
      </c>
    </row>
    <row r="75">
      <c r="A75" s="6" t="str">
        <f>IFERROR(__xludf.DUMMYFUNCTION("FLATTEN(ARRAYFORMULA(INDEX(A70:A74,INT((SEQUENCE(COUNTA(A70:A74)*3,1,0)/3)+1))))"),"Perplexity AI")</f>
        <v>Perplexity AI</v>
      </c>
      <c r="B75" s="6" t="str">
        <f>IFERROR(__xludf.DUMMYFUNCTION("FLATTEN(ARRAYFORMULA(INDEX(B70:B74,INT((SEQUENCE(COUNTA(B70:B74)*5,1,0)/5)+1))))"),"Perplexity AI, Inc.")</f>
        <v>Perplexity AI, Inc.</v>
      </c>
      <c r="C75" s="5" t="s">
        <v>119</v>
      </c>
      <c r="D75" s="5" t="s">
        <v>124</v>
      </c>
      <c r="E75" s="4" t="s">
        <v>96</v>
      </c>
      <c r="F75" s="4" t="s">
        <v>46</v>
      </c>
      <c r="G75" s="4" t="s">
        <v>17</v>
      </c>
      <c r="H75" s="4" t="s">
        <v>18</v>
      </c>
      <c r="I75" s="4" t="s">
        <v>19</v>
      </c>
      <c r="J75" s="4" t="s">
        <v>122</v>
      </c>
      <c r="K75" s="4" t="s">
        <v>24</v>
      </c>
    </row>
    <row r="76">
      <c r="A76" s="6" t="str">
        <f>IFERROR(__xludf.DUMMYFUNCTION("FLATTEN(ARRAYFORMULA(INDEX(A71:A75,INT((SEQUENCE(COUNTA(A71:A75)*3,1,0)/3)+1))))"),"Claude")</f>
        <v>Claude</v>
      </c>
      <c r="B76" s="6" t="str">
        <f>IFERROR(__xludf.DUMMYFUNCTION("FLATTEN(ARRAYFORMULA(INDEX(B71:B75,INT((SEQUENCE(COUNTA(B71:B75)*5,1,0)/5)+1))))"),"Anthropic")</f>
        <v>Anthropic</v>
      </c>
      <c r="C76" s="5" t="s">
        <v>119</v>
      </c>
      <c r="D76" s="5" t="s">
        <v>125</v>
      </c>
      <c r="E76" s="4" t="s">
        <v>96</v>
      </c>
      <c r="F76" s="4" t="s">
        <v>28</v>
      </c>
      <c r="G76" s="4" t="s">
        <v>17</v>
      </c>
      <c r="H76" s="4" t="s">
        <v>24</v>
      </c>
      <c r="I76" s="4" t="s">
        <v>19</v>
      </c>
      <c r="J76" s="4" t="s">
        <v>20</v>
      </c>
      <c r="K76" s="4" t="s">
        <v>18</v>
      </c>
    </row>
    <row r="77">
      <c r="A77" s="6" t="str">
        <f>IFERROR(__xludf.DUMMYFUNCTION("FLATTEN(ARRAYFORMULA(INDEX(A72:A76,INT((SEQUENCE(COUNTA(A72:A76)*3,1,0)/3)+1))))"),"Grok")</f>
        <v>Grok</v>
      </c>
      <c r="B77" s="6" t="str">
        <f>IFERROR(__xludf.DUMMYFUNCTION("FLATTEN(ARRAYFORMULA(INDEX(B72:B76,INT((SEQUENCE(COUNTA(B72:B76)*5,1,0)/5)+1))))"),"Xai")</f>
        <v>Xai</v>
      </c>
      <c r="C77" s="5" t="s">
        <v>126</v>
      </c>
      <c r="D77" s="5" t="s">
        <v>127</v>
      </c>
      <c r="E77" s="4" t="s">
        <v>96</v>
      </c>
      <c r="F77" s="4" t="s">
        <v>16</v>
      </c>
      <c r="G77" s="4" t="s">
        <v>17</v>
      </c>
      <c r="H77" s="4" t="s">
        <v>18</v>
      </c>
      <c r="I77" s="4" t="s">
        <v>19</v>
      </c>
      <c r="J77" s="4" t="s">
        <v>20</v>
      </c>
      <c r="K77" s="4" t="s">
        <v>24</v>
      </c>
    </row>
    <row r="78">
      <c r="A78" s="6" t="str">
        <f>IFERROR(__xludf.DUMMYFUNCTION("FLATTEN(ARRAYFORMULA(INDEX(A73:A77,INT((SEQUENCE(COUNTA(A73:A77)*3,1,0)/3)+1))))"),"Gemini")</f>
        <v>Gemini</v>
      </c>
      <c r="B78" s="6" t="str">
        <f>IFERROR(__xludf.DUMMYFUNCTION("FLATTEN(ARRAYFORMULA(INDEX(B73:B77,INT((SEQUENCE(COUNTA(B73:B77)*5,1,0)/5)+1))))"),"Google")</f>
        <v>Google</v>
      </c>
      <c r="C78" s="5" t="s">
        <v>126</v>
      </c>
      <c r="D78" s="5" t="s">
        <v>128</v>
      </c>
      <c r="E78" s="4" t="s">
        <v>96</v>
      </c>
      <c r="F78" s="4" t="s">
        <v>28</v>
      </c>
      <c r="G78" s="4" t="s">
        <v>17</v>
      </c>
      <c r="H78" s="4" t="s">
        <v>18</v>
      </c>
      <c r="I78" s="4" t="s">
        <v>19</v>
      </c>
      <c r="J78" s="4" t="s">
        <v>20</v>
      </c>
      <c r="K78" s="4" t="s">
        <v>24</v>
      </c>
    </row>
    <row r="79">
      <c r="A79" s="6" t="str">
        <f>IFERROR(__xludf.DUMMYFUNCTION("FLATTEN(ARRAYFORMULA(INDEX(A74:A78,INT((SEQUENCE(COUNTA(A74:A78)*3,1,0)/3)+1))))"),"Chat GPT")</f>
        <v>Chat GPT</v>
      </c>
      <c r="B79" s="6" t="str">
        <f>IFERROR(__xludf.DUMMYFUNCTION("FLATTEN(ARRAYFORMULA(INDEX(B74:B78,INT((SEQUENCE(COUNTA(B74:B78)*5,1,0)/5)+1))))"),"Open AI")</f>
        <v>Open AI</v>
      </c>
      <c r="C79" s="5" t="s">
        <v>126</v>
      </c>
      <c r="D79" s="5" t="s">
        <v>129</v>
      </c>
      <c r="E79" s="4" t="s">
        <v>96</v>
      </c>
      <c r="F79" s="4" t="s">
        <v>28</v>
      </c>
      <c r="G79" s="4" t="s">
        <v>29</v>
      </c>
      <c r="H79" s="4" t="s">
        <v>18</v>
      </c>
      <c r="I79" s="4" t="s">
        <v>19</v>
      </c>
      <c r="J79" s="4" t="s">
        <v>20</v>
      </c>
      <c r="K79" s="4" t="s">
        <v>18</v>
      </c>
    </row>
    <row r="80">
      <c r="A80" s="6" t="str">
        <f>IFERROR(__xludf.DUMMYFUNCTION("FLATTEN(ARRAYFORMULA(INDEX(A75:A79,INT((SEQUENCE(COUNTA(A75:A79)*3,1,0)/3)+1))))"),"Perplexity AI")</f>
        <v>Perplexity AI</v>
      </c>
      <c r="B80" s="6" t="str">
        <f>IFERROR(__xludf.DUMMYFUNCTION("FLATTEN(ARRAYFORMULA(INDEX(B75:B79,INT((SEQUENCE(COUNTA(B75:B79)*5,1,0)/5)+1))))"),"Perplexity AI, Inc.")</f>
        <v>Perplexity AI, Inc.</v>
      </c>
      <c r="C80" s="5" t="s">
        <v>126</v>
      </c>
      <c r="D80" s="5" t="s">
        <v>130</v>
      </c>
      <c r="E80" s="4" t="s">
        <v>96</v>
      </c>
      <c r="F80" s="4" t="s">
        <v>28</v>
      </c>
      <c r="G80" s="4" t="s">
        <v>17</v>
      </c>
      <c r="H80" s="4" t="s">
        <v>18</v>
      </c>
      <c r="I80" s="4" t="s">
        <v>19</v>
      </c>
      <c r="J80" s="4" t="s">
        <v>20</v>
      </c>
      <c r="K80" s="4" t="s">
        <v>24</v>
      </c>
    </row>
    <row r="81">
      <c r="A81" s="6" t="str">
        <f>IFERROR(__xludf.DUMMYFUNCTION("FLATTEN(ARRAYFORMULA(INDEX(A76:A80,INT((SEQUENCE(COUNTA(A76:A80)*3,1,0)/3)+1))))"),"Claude")</f>
        <v>Claude</v>
      </c>
      <c r="B81" s="6" t="str">
        <f>IFERROR(__xludf.DUMMYFUNCTION("FLATTEN(ARRAYFORMULA(INDEX(B76:B80,INT((SEQUENCE(COUNTA(B76:B80)*5,1,0)/5)+1))))"),"Anthropic")</f>
        <v>Anthropic</v>
      </c>
      <c r="C81" s="5" t="s">
        <v>126</v>
      </c>
      <c r="D81" s="5" t="s">
        <v>131</v>
      </c>
      <c r="E81" s="4" t="s">
        <v>96</v>
      </c>
      <c r="F81" s="4" t="s">
        <v>28</v>
      </c>
      <c r="G81" s="4" t="s">
        <v>17</v>
      </c>
      <c r="H81" s="4" t="s">
        <v>18</v>
      </c>
      <c r="I81" s="4" t="s">
        <v>19</v>
      </c>
      <c r="J81" s="4" t="s">
        <v>20</v>
      </c>
      <c r="K81" s="4" t="s">
        <v>18</v>
      </c>
    </row>
    <row r="82">
      <c r="A82" s="6" t="str">
        <f>IFERROR(__xludf.DUMMYFUNCTION("FLATTEN(ARRAYFORMULA(INDEX(A77:A81,INT((SEQUENCE(COUNTA(A77:A81)*3,1,0)/3)+1))))"),"Grok")</f>
        <v>Grok</v>
      </c>
      <c r="B82" s="6" t="str">
        <f>IFERROR(__xludf.DUMMYFUNCTION("FLATTEN(ARRAYFORMULA(INDEX(B77:B81,INT((SEQUENCE(COUNTA(B77:B81)*5,1,0)/5)+1))))"),"Xai")</f>
        <v>Xai</v>
      </c>
      <c r="C82" s="5" t="s">
        <v>132</v>
      </c>
      <c r="D82" s="5" t="s">
        <v>133</v>
      </c>
      <c r="E82" s="4" t="s">
        <v>96</v>
      </c>
      <c r="F82" s="4" t="s">
        <v>16</v>
      </c>
      <c r="G82" s="4" t="s">
        <v>17</v>
      </c>
      <c r="H82" s="4" t="s">
        <v>18</v>
      </c>
      <c r="I82" s="4" t="s">
        <v>19</v>
      </c>
      <c r="J82" s="4" t="s">
        <v>20</v>
      </c>
      <c r="K82" s="4" t="s">
        <v>18</v>
      </c>
    </row>
    <row r="83">
      <c r="A83" s="6" t="str">
        <f>IFERROR(__xludf.DUMMYFUNCTION("FLATTEN(ARRAYFORMULA(INDEX(A78:A82,INT((SEQUENCE(COUNTA(A78:A82)*3,1,0)/3)+1))))"),"Gemini")</f>
        <v>Gemini</v>
      </c>
      <c r="B83" s="6" t="str">
        <f>IFERROR(__xludf.DUMMYFUNCTION("FLATTEN(ARRAYFORMULA(INDEX(B78:B82,INT((SEQUENCE(COUNTA(B78:B82)*5,1,0)/5)+1))))"),"Google")</f>
        <v>Google</v>
      </c>
      <c r="C83" s="5" t="s">
        <v>132</v>
      </c>
      <c r="D83" s="5" t="s">
        <v>134</v>
      </c>
      <c r="E83" s="4" t="s">
        <v>96</v>
      </c>
      <c r="F83" s="4" t="s">
        <v>28</v>
      </c>
      <c r="G83" s="4" t="s">
        <v>17</v>
      </c>
      <c r="H83" s="4" t="s">
        <v>18</v>
      </c>
      <c r="I83" s="4" t="s">
        <v>19</v>
      </c>
      <c r="J83" s="4" t="s">
        <v>20</v>
      </c>
      <c r="K83" s="4" t="s">
        <v>24</v>
      </c>
    </row>
    <row r="84">
      <c r="A84" s="6" t="str">
        <f>IFERROR(__xludf.DUMMYFUNCTION("FLATTEN(ARRAYFORMULA(INDEX(A79:A83,INT((SEQUENCE(COUNTA(A79:A83)*3,1,0)/3)+1))))"),"Chat GPT")</f>
        <v>Chat GPT</v>
      </c>
      <c r="B84" s="6" t="str">
        <f>IFERROR(__xludf.DUMMYFUNCTION("FLATTEN(ARRAYFORMULA(INDEX(B79:B83,INT((SEQUENCE(COUNTA(B79:B83)*5,1,0)/5)+1))))"),"Open AI")</f>
        <v>Open AI</v>
      </c>
      <c r="C84" s="5" t="s">
        <v>132</v>
      </c>
      <c r="D84" s="5" t="s">
        <v>135</v>
      </c>
      <c r="E84" s="4" t="s">
        <v>96</v>
      </c>
      <c r="F84" s="4" t="s">
        <v>28</v>
      </c>
      <c r="G84" s="4" t="s">
        <v>29</v>
      </c>
      <c r="H84" s="4" t="s">
        <v>18</v>
      </c>
      <c r="I84" s="4" t="s">
        <v>19</v>
      </c>
      <c r="J84" s="4" t="s">
        <v>20</v>
      </c>
      <c r="K84" s="4" t="s">
        <v>18</v>
      </c>
    </row>
    <row r="85">
      <c r="A85" s="6" t="str">
        <f>IFERROR(__xludf.DUMMYFUNCTION("FLATTEN(ARRAYFORMULA(INDEX(A80:A84,INT((SEQUENCE(COUNTA(A80:A84)*3,1,0)/3)+1))))"),"Perplexity AI")</f>
        <v>Perplexity AI</v>
      </c>
      <c r="B85" s="6" t="str">
        <f>IFERROR(__xludf.DUMMYFUNCTION("FLATTEN(ARRAYFORMULA(INDEX(B80:B84,INT((SEQUENCE(COUNTA(B80:B84)*5,1,0)/5)+1))))"),"Perplexity AI, Inc.")</f>
        <v>Perplexity AI, Inc.</v>
      </c>
      <c r="C85" s="5" t="s">
        <v>132</v>
      </c>
      <c r="D85" s="5" t="s">
        <v>136</v>
      </c>
      <c r="E85" s="4" t="s">
        <v>96</v>
      </c>
      <c r="F85" s="4" t="s">
        <v>46</v>
      </c>
      <c r="G85" s="4" t="s">
        <v>17</v>
      </c>
      <c r="H85" s="4" t="s">
        <v>18</v>
      </c>
      <c r="I85" s="4" t="s">
        <v>19</v>
      </c>
      <c r="J85" s="4" t="s">
        <v>20</v>
      </c>
      <c r="K85" s="4" t="s">
        <v>24</v>
      </c>
    </row>
    <row r="86">
      <c r="A86" s="6" t="str">
        <f>IFERROR(__xludf.DUMMYFUNCTION("FLATTEN(ARRAYFORMULA(INDEX(A81:A85,INT((SEQUENCE(COUNTA(A81:A85)*3,1,0)/3)+1))))"),"Claude")</f>
        <v>Claude</v>
      </c>
      <c r="B86" s="6" t="str">
        <f>IFERROR(__xludf.DUMMYFUNCTION("FLATTEN(ARRAYFORMULA(INDEX(B81:B85,INT((SEQUENCE(COUNTA(B81:B85)*5,1,0)/5)+1))))"),"Anthropic")</f>
        <v>Anthropic</v>
      </c>
      <c r="C86" s="5" t="s">
        <v>132</v>
      </c>
      <c r="D86" s="5" t="s">
        <v>137</v>
      </c>
      <c r="E86" s="4" t="s">
        <v>96</v>
      </c>
      <c r="F86" s="4" t="s">
        <v>16</v>
      </c>
      <c r="G86" s="4" t="s">
        <v>17</v>
      </c>
      <c r="H86" s="4" t="s">
        <v>18</v>
      </c>
      <c r="I86" s="4" t="s">
        <v>19</v>
      </c>
      <c r="J86" s="4" t="s">
        <v>20</v>
      </c>
      <c r="K86" s="4" t="s">
        <v>18</v>
      </c>
    </row>
    <row r="87">
      <c r="A87" s="6" t="str">
        <f>IFERROR(__xludf.DUMMYFUNCTION("FLATTEN(ARRAYFORMULA(INDEX(A82:A86,INT((SEQUENCE(COUNTA(A82:A86)*3,1,0)/3)+1))))"),"Grok")</f>
        <v>Grok</v>
      </c>
      <c r="B87" s="6" t="str">
        <f>IFERROR(__xludf.DUMMYFUNCTION("FLATTEN(ARRAYFORMULA(INDEX(B82:B86,INT((SEQUENCE(COUNTA(B82:B86)*5,1,0)/5)+1))))"),"Xai")</f>
        <v>Xai</v>
      </c>
      <c r="C87" s="5" t="s">
        <v>138</v>
      </c>
      <c r="D87" s="5" t="s">
        <v>139</v>
      </c>
      <c r="E87" s="4" t="s">
        <v>96</v>
      </c>
      <c r="F87" s="4" t="s">
        <v>16</v>
      </c>
      <c r="G87" s="4" t="s">
        <v>17</v>
      </c>
      <c r="H87" s="4" t="s">
        <v>18</v>
      </c>
      <c r="I87" s="4" t="s">
        <v>19</v>
      </c>
      <c r="J87" s="4" t="s">
        <v>20</v>
      </c>
      <c r="K87" s="4" t="s">
        <v>18</v>
      </c>
    </row>
    <row r="88">
      <c r="A88" s="6" t="str">
        <f>IFERROR(__xludf.DUMMYFUNCTION("FLATTEN(ARRAYFORMULA(INDEX(A83:A87,INT((SEQUENCE(COUNTA(A83:A87)*3,1,0)/3)+1))))"),"Gemini")</f>
        <v>Gemini</v>
      </c>
      <c r="B88" s="6" t="str">
        <f>IFERROR(__xludf.DUMMYFUNCTION("FLATTEN(ARRAYFORMULA(INDEX(B83:B87,INT((SEQUENCE(COUNTA(B83:B87)*5,1,0)/5)+1))))"),"Google")</f>
        <v>Google</v>
      </c>
      <c r="C88" s="5" t="s">
        <v>138</v>
      </c>
      <c r="D88" s="5" t="s">
        <v>140</v>
      </c>
      <c r="E88" s="4" t="s">
        <v>96</v>
      </c>
      <c r="F88" s="4" t="s">
        <v>16</v>
      </c>
      <c r="G88" s="4" t="s">
        <v>17</v>
      </c>
      <c r="H88" s="4" t="s">
        <v>18</v>
      </c>
      <c r="I88" s="4" t="s">
        <v>19</v>
      </c>
      <c r="J88" s="4" t="s">
        <v>20</v>
      </c>
      <c r="K88" s="4" t="s">
        <v>24</v>
      </c>
    </row>
    <row r="89">
      <c r="A89" s="6" t="str">
        <f>IFERROR(__xludf.DUMMYFUNCTION("FLATTEN(ARRAYFORMULA(INDEX(A84:A88,INT((SEQUENCE(COUNTA(A84:A88)*3,1,0)/3)+1))))"),"Chat GPT")</f>
        <v>Chat GPT</v>
      </c>
      <c r="B89" s="6" t="str">
        <f>IFERROR(__xludf.DUMMYFUNCTION("FLATTEN(ARRAYFORMULA(INDEX(B84:B88,INT((SEQUENCE(COUNTA(B84:B88)*5,1,0)/5)+1))))"),"Open AI")</f>
        <v>Open AI</v>
      </c>
      <c r="C89" s="5" t="s">
        <v>138</v>
      </c>
      <c r="D89" s="5" t="s">
        <v>141</v>
      </c>
      <c r="E89" s="4" t="s">
        <v>96</v>
      </c>
      <c r="F89" s="4" t="s">
        <v>16</v>
      </c>
      <c r="G89" s="4" t="s">
        <v>29</v>
      </c>
      <c r="H89" s="4" t="s">
        <v>18</v>
      </c>
      <c r="I89" s="4" t="s">
        <v>19</v>
      </c>
      <c r="J89" s="4" t="s">
        <v>20</v>
      </c>
      <c r="K89" s="4" t="s">
        <v>18</v>
      </c>
    </row>
    <row r="90">
      <c r="A90" s="6" t="str">
        <f>IFERROR(__xludf.DUMMYFUNCTION("FLATTEN(ARRAYFORMULA(INDEX(A85:A89,INT((SEQUENCE(COUNTA(A85:A89)*3,1,0)/3)+1))))"),"Perplexity AI")</f>
        <v>Perplexity AI</v>
      </c>
      <c r="B90" s="6" t="str">
        <f>IFERROR(__xludf.DUMMYFUNCTION("FLATTEN(ARRAYFORMULA(INDEX(B85:B89,INT((SEQUENCE(COUNTA(B85:B89)*5,1,0)/5)+1))))"),"Perplexity AI, Inc.")</f>
        <v>Perplexity AI, Inc.</v>
      </c>
      <c r="C90" s="5" t="s">
        <v>138</v>
      </c>
      <c r="D90" s="5" t="s">
        <v>142</v>
      </c>
      <c r="E90" s="4" t="s">
        <v>96</v>
      </c>
      <c r="F90" s="4" t="s">
        <v>28</v>
      </c>
      <c r="G90" s="4" t="s">
        <v>33</v>
      </c>
      <c r="H90" s="4" t="s">
        <v>18</v>
      </c>
      <c r="I90" s="4" t="s">
        <v>19</v>
      </c>
      <c r="J90" s="4" t="s">
        <v>20</v>
      </c>
      <c r="K90" s="4" t="s">
        <v>24</v>
      </c>
    </row>
    <row r="91">
      <c r="A91" s="6" t="str">
        <f>IFERROR(__xludf.DUMMYFUNCTION("FLATTEN(ARRAYFORMULA(INDEX(A86:A90,INT((SEQUENCE(COUNTA(A86:A90)*3,1,0)/3)+1))))"),"Claude")</f>
        <v>Claude</v>
      </c>
      <c r="B91" s="6" t="str">
        <f>IFERROR(__xludf.DUMMYFUNCTION("FLATTEN(ARRAYFORMULA(INDEX(B86:B90,INT((SEQUENCE(COUNTA(B86:B90)*5,1,0)/5)+1))))"),"Anthropic")</f>
        <v>Anthropic</v>
      </c>
      <c r="C91" s="5" t="s">
        <v>138</v>
      </c>
      <c r="D91" s="5" t="s">
        <v>143</v>
      </c>
      <c r="E91" s="4" t="s">
        <v>96</v>
      </c>
      <c r="F91" s="4" t="s">
        <v>28</v>
      </c>
      <c r="G91" s="4" t="s">
        <v>17</v>
      </c>
      <c r="H91" s="4" t="s">
        <v>18</v>
      </c>
      <c r="I91" s="4" t="s">
        <v>19</v>
      </c>
      <c r="J91" s="4" t="s">
        <v>20</v>
      </c>
      <c r="K91" s="4" t="s">
        <v>18</v>
      </c>
    </row>
    <row r="92">
      <c r="A92" s="6" t="str">
        <f>IFERROR(__xludf.DUMMYFUNCTION("FLATTEN(ARRAYFORMULA(INDEX(A87:A91,INT((SEQUENCE(COUNTA(A87:A91)*3,1,0)/3)+1))))"),"Grok")</f>
        <v>Grok</v>
      </c>
      <c r="B92" s="6" t="str">
        <f>IFERROR(__xludf.DUMMYFUNCTION("FLATTEN(ARRAYFORMULA(INDEX(B87:B91,INT((SEQUENCE(COUNTA(B87:B91)*5,1,0)/5)+1))))"),"Xai")</f>
        <v>Xai</v>
      </c>
      <c r="C92" s="5" t="s">
        <v>144</v>
      </c>
      <c r="D92" s="5" t="s">
        <v>145</v>
      </c>
      <c r="E92" s="4" t="s">
        <v>96</v>
      </c>
      <c r="F92" s="4" t="s">
        <v>16</v>
      </c>
      <c r="G92" s="4" t="s">
        <v>17</v>
      </c>
      <c r="H92" s="4" t="s">
        <v>18</v>
      </c>
      <c r="I92" s="4" t="s">
        <v>19</v>
      </c>
      <c r="J92" s="4" t="s">
        <v>20</v>
      </c>
      <c r="K92" s="4" t="s">
        <v>18</v>
      </c>
    </row>
    <row r="93">
      <c r="A93" s="6" t="str">
        <f>IFERROR(__xludf.DUMMYFUNCTION("FLATTEN(ARRAYFORMULA(INDEX(A88:A92,INT((SEQUENCE(COUNTA(A88:A92)*3,1,0)/3)+1))))"),"Gemini")</f>
        <v>Gemini</v>
      </c>
      <c r="B93" s="6" t="str">
        <f>IFERROR(__xludf.DUMMYFUNCTION("FLATTEN(ARRAYFORMULA(INDEX(B88:B92,INT((SEQUENCE(COUNTA(B88:B92)*5,1,0)/5)+1))))"),"Google")</f>
        <v>Google</v>
      </c>
      <c r="C93" s="5" t="s">
        <v>144</v>
      </c>
      <c r="D93" s="5" t="s">
        <v>146</v>
      </c>
      <c r="E93" s="4" t="s">
        <v>96</v>
      </c>
      <c r="F93" s="4" t="s">
        <v>16</v>
      </c>
      <c r="G93" s="4" t="s">
        <v>17</v>
      </c>
      <c r="H93" s="4" t="s">
        <v>18</v>
      </c>
      <c r="I93" s="4" t="s">
        <v>19</v>
      </c>
      <c r="J93" s="4" t="s">
        <v>20</v>
      </c>
      <c r="K93" s="4" t="s">
        <v>24</v>
      </c>
    </row>
    <row r="94">
      <c r="A94" s="6" t="str">
        <f>IFERROR(__xludf.DUMMYFUNCTION("FLATTEN(ARRAYFORMULA(INDEX(A89:A93,INT((SEQUENCE(COUNTA(A89:A93)*3,1,0)/3)+1))))"),"Chat GPT")</f>
        <v>Chat GPT</v>
      </c>
      <c r="B94" s="6" t="str">
        <f>IFERROR(__xludf.DUMMYFUNCTION("FLATTEN(ARRAYFORMULA(INDEX(B89:B93,INT((SEQUENCE(COUNTA(B89:B93)*5,1,0)/5)+1))))"),"Open AI")</f>
        <v>Open AI</v>
      </c>
      <c r="C94" s="5" t="s">
        <v>144</v>
      </c>
      <c r="D94" s="5" t="s">
        <v>147</v>
      </c>
      <c r="E94" s="4" t="s">
        <v>96</v>
      </c>
      <c r="F94" s="4" t="s">
        <v>28</v>
      </c>
      <c r="G94" s="4" t="s">
        <v>29</v>
      </c>
      <c r="H94" s="4" t="s">
        <v>18</v>
      </c>
      <c r="I94" s="4" t="s">
        <v>19</v>
      </c>
      <c r="J94" s="4" t="s">
        <v>20</v>
      </c>
      <c r="K94" s="4" t="s">
        <v>18</v>
      </c>
    </row>
    <row r="95">
      <c r="A95" s="6" t="str">
        <f>IFERROR(__xludf.DUMMYFUNCTION("FLATTEN(ARRAYFORMULA(INDEX(A90:A94,INT((SEQUENCE(COUNTA(A90:A94)*3,1,0)/3)+1))))"),"Perplexity AI")</f>
        <v>Perplexity AI</v>
      </c>
      <c r="B95" s="6" t="str">
        <f>IFERROR(__xludf.DUMMYFUNCTION("FLATTEN(ARRAYFORMULA(INDEX(B90:B94,INT((SEQUENCE(COUNTA(B90:B94)*5,1,0)/5)+1))))"),"Perplexity AI, Inc.")</f>
        <v>Perplexity AI, Inc.</v>
      </c>
      <c r="C95" s="5" t="s">
        <v>144</v>
      </c>
      <c r="D95" s="5" t="s">
        <v>148</v>
      </c>
      <c r="E95" s="4" t="s">
        <v>96</v>
      </c>
      <c r="F95" s="4" t="s">
        <v>46</v>
      </c>
      <c r="G95" s="4" t="s">
        <v>17</v>
      </c>
      <c r="H95" s="4" t="s">
        <v>18</v>
      </c>
      <c r="I95" s="4" t="s">
        <v>19</v>
      </c>
      <c r="J95" s="4" t="s">
        <v>20</v>
      </c>
      <c r="K95" s="4" t="s">
        <v>24</v>
      </c>
    </row>
    <row r="96">
      <c r="A96" s="6" t="str">
        <f>IFERROR(__xludf.DUMMYFUNCTION("FLATTEN(ARRAYFORMULA(INDEX(A91:A95,INT((SEQUENCE(COUNTA(A91:A95)*3,1,0)/3)+1))))"),"Claude")</f>
        <v>Claude</v>
      </c>
      <c r="B96" s="6" t="str">
        <f>IFERROR(__xludf.DUMMYFUNCTION("FLATTEN(ARRAYFORMULA(INDEX(B91:B95,INT((SEQUENCE(COUNTA(B91:B95)*5,1,0)/5)+1))))"),"Anthropic")</f>
        <v>Anthropic</v>
      </c>
      <c r="C96" s="5" t="s">
        <v>144</v>
      </c>
      <c r="D96" s="5" t="s">
        <v>149</v>
      </c>
      <c r="E96" s="4" t="s">
        <v>96</v>
      </c>
      <c r="F96" s="4" t="s">
        <v>16</v>
      </c>
      <c r="G96" s="4" t="s">
        <v>17</v>
      </c>
      <c r="H96" s="4" t="s">
        <v>18</v>
      </c>
      <c r="I96" s="4" t="s">
        <v>19</v>
      </c>
      <c r="J96" s="4" t="s">
        <v>20</v>
      </c>
      <c r="K96" s="4" t="s">
        <v>18</v>
      </c>
    </row>
    <row r="97">
      <c r="A97" s="6" t="str">
        <f>IFERROR(__xludf.DUMMYFUNCTION("FLATTEN(ARRAYFORMULA(INDEX(A92:A96,INT((SEQUENCE(COUNTA(A92:A96)*3,1,0)/3)+1))))"),"Grok")</f>
        <v>Grok</v>
      </c>
      <c r="B97" s="6" t="str">
        <f>IFERROR(__xludf.DUMMYFUNCTION("FLATTEN(ARRAYFORMULA(INDEX(B92:B96,INT((SEQUENCE(COUNTA(B92:B96)*5,1,0)/5)+1))))"),"Xai")</f>
        <v>Xai</v>
      </c>
      <c r="C97" s="5" t="s">
        <v>150</v>
      </c>
      <c r="D97" s="5" t="s">
        <v>151</v>
      </c>
      <c r="E97" s="4" t="s">
        <v>96</v>
      </c>
      <c r="F97" s="4" t="s">
        <v>46</v>
      </c>
      <c r="G97" s="4" t="s">
        <v>17</v>
      </c>
      <c r="H97" s="4" t="s">
        <v>18</v>
      </c>
      <c r="I97" s="4" t="s">
        <v>19</v>
      </c>
      <c r="J97" s="4" t="s">
        <v>20</v>
      </c>
      <c r="K97" s="4" t="s">
        <v>18</v>
      </c>
    </row>
    <row r="98">
      <c r="A98" s="6" t="str">
        <f>IFERROR(__xludf.DUMMYFUNCTION("FLATTEN(ARRAYFORMULA(INDEX(A93:A97,INT((SEQUENCE(COUNTA(A93:A97)*3,1,0)/3)+1))))"),"Gemini")</f>
        <v>Gemini</v>
      </c>
      <c r="B98" s="6" t="str">
        <f>IFERROR(__xludf.DUMMYFUNCTION("FLATTEN(ARRAYFORMULA(INDEX(B93:B97,INT((SEQUENCE(COUNTA(B93:B97)*5,1,0)/5)+1))))"),"Google")</f>
        <v>Google</v>
      </c>
      <c r="C98" s="5" t="s">
        <v>150</v>
      </c>
      <c r="D98" s="5" t="s">
        <v>152</v>
      </c>
      <c r="E98" s="4" t="s">
        <v>96</v>
      </c>
      <c r="F98" s="4" t="s">
        <v>28</v>
      </c>
      <c r="G98" s="4" t="s">
        <v>17</v>
      </c>
      <c r="H98" s="4" t="s">
        <v>18</v>
      </c>
      <c r="I98" s="4" t="s">
        <v>19</v>
      </c>
      <c r="J98" s="4" t="s">
        <v>20</v>
      </c>
      <c r="K98" s="4" t="s">
        <v>24</v>
      </c>
    </row>
    <row r="99">
      <c r="A99" s="6" t="str">
        <f>IFERROR(__xludf.DUMMYFUNCTION("FLATTEN(ARRAYFORMULA(INDEX(A94:A98,INT((SEQUENCE(COUNTA(A94:A98)*3,1,0)/3)+1))))"),"Chat GPT")</f>
        <v>Chat GPT</v>
      </c>
      <c r="B99" s="6" t="str">
        <f>IFERROR(__xludf.DUMMYFUNCTION("FLATTEN(ARRAYFORMULA(INDEX(B94:B98,INT((SEQUENCE(COUNTA(B94:B98)*5,1,0)/5)+1))))"),"Open AI")</f>
        <v>Open AI</v>
      </c>
      <c r="C99" s="5" t="s">
        <v>150</v>
      </c>
      <c r="D99" s="5" t="s">
        <v>153</v>
      </c>
      <c r="E99" s="4" t="s">
        <v>96</v>
      </c>
      <c r="F99" s="4" t="s">
        <v>16</v>
      </c>
      <c r="G99" s="4" t="s">
        <v>17</v>
      </c>
      <c r="H99" s="4" t="s">
        <v>18</v>
      </c>
      <c r="I99" s="4" t="s">
        <v>19</v>
      </c>
      <c r="J99" s="4" t="s">
        <v>20</v>
      </c>
      <c r="K99" s="4" t="s">
        <v>18</v>
      </c>
    </row>
    <row r="100">
      <c r="A100" s="6" t="str">
        <f>IFERROR(__xludf.DUMMYFUNCTION("FLATTEN(ARRAYFORMULA(INDEX(A95:A99,INT((SEQUENCE(COUNTA(A95:A99)*3,1,0)/3)+1))))"),"Perplexity AI")</f>
        <v>Perplexity AI</v>
      </c>
      <c r="B100" s="6" t="str">
        <f>IFERROR(__xludf.DUMMYFUNCTION("FLATTEN(ARRAYFORMULA(INDEX(B95:B99,INT((SEQUENCE(COUNTA(B95:B99)*5,1,0)/5)+1))))"),"Perplexity AI, Inc.")</f>
        <v>Perplexity AI, Inc.</v>
      </c>
      <c r="C100" s="5" t="s">
        <v>150</v>
      </c>
      <c r="D100" s="5" t="s">
        <v>154</v>
      </c>
      <c r="E100" s="4" t="s">
        <v>96</v>
      </c>
      <c r="F100" s="4" t="s">
        <v>28</v>
      </c>
      <c r="G100" s="4" t="s">
        <v>17</v>
      </c>
      <c r="H100" s="4" t="s">
        <v>18</v>
      </c>
      <c r="I100" s="4" t="s">
        <v>19</v>
      </c>
      <c r="J100" s="4" t="s">
        <v>20</v>
      </c>
      <c r="K100" s="4" t="s">
        <v>24</v>
      </c>
    </row>
    <row r="101">
      <c r="A101" s="6" t="str">
        <f>IFERROR(__xludf.DUMMYFUNCTION("FLATTEN(ARRAYFORMULA(INDEX(A96:A100,INT((SEQUENCE(COUNTA(A96:A100)*3,1,0)/3)+1))))"),"Claude")</f>
        <v>Claude</v>
      </c>
      <c r="B101" s="6" t="str">
        <f>IFERROR(__xludf.DUMMYFUNCTION("FLATTEN(ARRAYFORMULA(INDEX(B96:B100,INT((SEQUENCE(COUNTA(B96:B100)*5,1,0)/5)+1))))"),"Anthropic")</f>
        <v>Anthropic</v>
      </c>
      <c r="C101" s="5" t="s">
        <v>150</v>
      </c>
      <c r="D101" s="5" t="s">
        <v>155</v>
      </c>
      <c r="E101" s="4" t="s">
        <v>96</v>
      </c>
      <c r="F101" s="4" t="s">
        <v>16</v>
      </c>
      <c r="G101" s="4" t="s">
        <v>17</v>
      </c>
      <c r="H101" s="4" t="s">
        <v>18</v>
      </c>
      <c r="I101" s="4" t="s">
        <v>19</v>
      </c>
      <c r="J101" s="4" t="s">
        <v>34</v>
      </c>
      <c r="K101" s="4" t="s">
        <v>18</v>
      </c>
    </row>
    <row r="102">
      <c r="A102" s="6" t="str">
        <f>IFERROR(__xludf.DUMMYFUNCTION("FLATTEN(ARRAYFORMULA(INDEX(A97:A101,INT((SEQUENCE(COUNTA(A97:A101)*3,1,0)/3)+1))))"),"Grok")</f>
        <v>Grok</v>
      </c>
      <c r="B102" s="6" t="str">
        <f>IFERROR(__xludf.DUMMYFUNCTION("FLATTEN(ARRAYFORMULA(INDEX(B97:B101,INT((SEQUENCE(COUNTA(B97:B101)*5,1,0)/5)+1))))"),"Xai")</f>
        <v>Xai</v>
      </c>
      <c r="C102" s="5" t="s">
        <v>156</v>
      </c>
      <c r="D102" s="5" t="s">
        <v>157</v>
      </c>
      <c r="E102" s="4" t="s">
        <v>158</v>
      </c>
      <c r="F102" s="4" t="s">
        <v>46</v>
      </c>
      <c r="G102" s="4" t="s">
        <v>29</v>
      </c>
      <c r="H102" s="4" t="s">
        <v>18</v>
      </c>
      <c r="I102" s="4" t="s">
        <v>19</v>
      </c>
      <c r="J102" s="4" t="s">
        <v>20</v>
      </c>
      <c r="K102" s="4" t="s">
        <v>18</v>
      </c>
    </row>
    <row r="103">
      <c r="A103" s="6" t="str">
        <f>IFERROR(__xludf.DUMMYFUNCTION("FLATTEN(ARRAYFORMULA(INDEX(A98:A102,INT((SEQUENCE(COUNTA(A98:A102)*3,1,0)/3)+1))))"),"Gemini")</f>
        <v>Gemini</v>
      </c>
      <c r="B103" s="6" t="str">
        <f>IFERROR(__xludf.DUMMYFUNCTION("FLATTEN(ARRAYFORMULA(INDEX(B98:B102,INT((SEQUENCE(COUNTA(B98:B102)*5,1,0)/5)+1))))"),"Google")</f>
        <v>Google</v>
      </c>
      <c r="C103" s="5" t="s">
        <v>156</v>
      </c>
      <c r="D103" s="5" t="s">
        <v>159</v>
      </c>
      <c r="E103" s="4" t="s">
        <v>158</v>
      </c>
      <c r="F103" s="4" t="s">
        <v>46</v>
      </c>
      <c r="G103" s="4" t="s">
        <v>29</v>
      </c>
      <c r="H103" s="4" t="s">
        <v>18</v>
      </c>
      <c r="I103" s="4" t="s">
        <v>73</v>
      </c>
      <c r="J103" s="4" t="s">
        <v>20</v>
      </c>
      <c r="K103" s="4" t="s">
        <v>18</v>
      </c>
    </row>
    <row r="104">
      <c r="A104" s="6" t="str">
        <f>IFERROR(__xludf.DUMMYFUNCTION("FLATTEN(ARRAYFORMULA(INDEX(A99:A103,INT((SEQUENCE(COUNTA(A99:A103)*3,1,0)/3)+1))))"),"Chat GPT")</f>
        <v>Chat GPT</v>
      </c>
      <c r="B104" s="6" t="str">
        <f>IFERROR(__xludf.DUMMYFUNCTION("FLATTEN(ARRAYFORMULA(INDEX(B99:B103,INT((SEQUENCE(COUNTA(B99:B103)*5,1,0)/5)+1))))"),"Open AI")</f>
        <v>Open AI</v>
      </c>
      <c r="C104" s="5" t="s">
        <v>156</v>
      </c>
      <c r="D104" s="5" t="s">
        <v>160</v>
      </c>
      <c r="E104" s="4" t="s">
        <v>158</v>
      </c>
      <c r="F104" s="4" t="s">
        <v>46</v>
      </c>
      <c r="G104" s="4" t="s">
        <v>29</v>
      </c>
      <c r="H104" s="4" t="s">
        <v>18</v>
      </c>
      <c r="I104" s="4" t="s">
        <v>73</v>
      </c>
      <c r="J104" s="4" t="s">
        <v>20</v>
      </c>
      <c r="K104" s="4" t="s">
        <v>18</v>
      </c>
    </row>
    <row r="105">
      <c r="A105" s="6" t="str">
        <f>IFERROR(__xludf.DUMMYFUNCTION("FLATTEN(ARRAYFORMULA(INDEX(A100:A104,INT((SEQUENCE(COUNTA(A100:A104)*3,1,0)/3)+1))))"),"Perplexity AI")</f>
        <v>Perplexity AI</v>
      </c>
      <c r="B105" s="6" t="str">
        <f>IFERROR(__xludf.DUMMYFUNCTION("FLATTEN(ARRAYFORMULA(INDEX(B100:B104,INT((SEQUENCE(COUNTA(B100:B104)*5,1,0)/5)+1))))"),"Perplexity AI, Inc.")</f>
        <v>Perplexity AI, Inc.</v>
      </c>
      <c r="C105" s="5" t="s">
        <v>156</v>
      </c>
      <c r="D105" s="5" t="s">
        <v>161</v>
      </c>
      <c r="E105" s="4" t="s">
        <v>158</v>
      </c>
      <c r="F105" s="4" t="s">
        <v>46</v>
      </c>
      <c r="G105" s="4" t="s">
        <v>29</v>
      </c>
      <c r="H105" s="4" t="s">
        <v>18</v>
      </c>
      <c r="I105" s="4" t="s">
        <v>19</v>
      </c>
      <c r="J105" s="4" t="s">
        <v>20</v>
      </c>
      <c r="K105" s="4" t="s">
        <v>24</v>
      </c>
    </row>
    <row r="106">
      <c r="A106" s="6" t="str">
        <f>IFERROR(__xludf.DUMMYFUNCTION("FLATTEN(ARRAYFORMULA(INDEX(A101:A105,INT((SEQUENCE(COUNTA(A101:A105)*3,1,0)/3)+1))))"),"Claude")</f>
        <v>Claude</v>
      </c>
      <c r="B106" s="6" t="str">
        <f>IFERROR(__xludf.DUMMYFUNCTION("FLATTEN(ARRAYFORMULA(INDEX(B101:B105,INT((SEQUENCE(COUNTA(B101:B105)*5,1,0)/5)+1))))"),"Anthropic")</f>
        <v>Anthropic</v>
      </c>
      <c r="C106" s="5" t="s">
        <v>156</v>
      </c>
      <c r="D106" s="5" t="s">
        <v>162</v>
      </c>
      <c r="E106" s="4" t="s">
        <v>158</v>
      </c>
      <c r="F106" s="4" t="s">
        <v>46</v>
      </c>
      <c r="G106" s="4" t="s">
        <v>29</v>
      </c>
      <c r="H106" s="4" t="s">
        <v>18</v>
      </c>
      <c r="I106" s="4" t="s">
        <v>19</v>
      </c>
      <c r="J106" s="4" t="s">
        <v>20</v>
      </c>
      <c r="K106" s="4" t="s">
        <v>18</v>
      </c>
    </row>
    <row r="107">
      <c r="A107" s="6" t="str">
        <f>IFERROR(__xludf.DUMMYFUNCTION("FLATTEN(ARRAYFORMULA(INDEX(A102:A106,INT((SEQUENCE(COUNTA(A102:A106)*3,1,0)/3)+1))))"),"Grok")</f>
        <v>Grok</v>
      </c>
      <c r="B107" s="6" t="str">
        <f>IFERROR(__xludf.DUMMYFUNCTION("FLATTEN(ARRAYFORMULA(INDEX(B102:B106,INT((SEQUENCE(COUNTA(B102:B106)*5,1,0)/5)+1))))"),"Xai")</f>
        <v>Xai</v>
      </c>
      <c r="C107" s="5" t="s">
        <v>163</v>
      </c>
      <c r="D107" s="5" t="s">
        <v>164</v>
      </c>
      <c r="E107" s="4" t="s">
        <v>158</v>
      </c>
      <c r="F107" s="4" t="s">
        <v>16</v>
      </c>
      <c r="G107" s="4" t="s">
        <v>29</v>
      </c>
      <c r="H107" s="4" t="s">
        <v>18</v>
      </c>
      <c r="I107" s="4" t="s">
        <v>165</v>
      </c>
      <c r="J107" s="4" t="s">
        <v>20</v>
      </c>
      <c r="K107" s="4" t="s">
        <v>18</v>
      </c>
    </row>
    <row r="108">
      <c r="A108" s="6" t="str">
        <f>IFERROR(__xludf.DUMMYFUNCTION("FLATTEN(ARRAYFORMULA(INDEX(A103:A107,INT((SEQUENCE(COUNTA(A103:A107)*3,1,0)/3)+1))))"),"Gemini")</f>
        <v>Gemini</v>
      </c>
      <c r="B108" s="6" t="str">
        <f>IFERROR(__xludf.DUMMYFUNCTION("FLATTEN(ARRAYFORMULA(INDEX(B103:B107,INT((SEQUENCE(COUNTA(B103:B107)*5,1,0)/5)+1))))"),"Google")</f>
        <v>Google</v>
      </c>
      <c r="C108" s="5" t="s">
        <v>163</v>
      </c>
      <c r="D108" s="5" t="s">
        <v>166</v>
      </c>
      <c r="E108" s="4" t="s">
        <v>158</v>
      </c>
      <c r="F108" s="4" t="s">
        <v>16</v>
      </c>
      <c r="G108" s="4" t="s">
        <v>29</v>
      </c>
      <c r="H108" s="4" t="s">
        <v>18</v>
      </c>
      <c r="I108" s="4" t="s">
        <v>73</v>
      </c>
      <c r="J108" s="4" t="s">
        <v>20</v>
      </c>
      <c r="K108" s="4" t="s">
        <v>18</v>
      </c>
    </row>
    <row r="109">
      <c r="A109" s="6" t="str">
        <f>IFERROR(__xludf.DUMMYFUNCTION("FLATTEN(ARRAYFORMULA(INDEX(A104:A108,INT((SEQUENCE(COUNTA(A104:A108)*3,1,0)/3)+1))))"),"Chat GPT")</f>
        <v>Chat GPT</v>
      </c>
      <c r="B109" s="6" t="str">
        <f>IFERROR(__xludf.DUMMYFUNCTION("FLATTEN(ARRAYFORMULA(INDEX(B104:B108,INT((SEQUENCE(COUNTA(B104:B108)*5,1,0)/5)+1))))"),"Open AI")</f>
        <v>Open AI</v>
      </c>
      <c r="C109" s="5" t="s">
        <v>163</v>
      </c>
      <c r="D109" s="5" t="s">
        <v>167</v>
      </c>
      <c r="E109" s="4" t="s">
        <v>158</v>
      </c>
      <c r="F109" s="4" t="s">
        <v>28</v>
      </c>
      <c r="G109" s="4" t="s">
        <v>29</v>
      </c>
      <c r="H109" s="4" t="s">
        <v>18</v>
      </c>
      <c r="I109" s="4" t="s">
        <v>73</v>
      </c>
      <c r="J109" s="4" t="s">
        <v>20</v>
      </c>
      <c r="K109" s="4" t="s">
        <v>18</v>
      </c>
    </row>
    <row r="110">
      <c r="A110" s="6" t="str">
        <f>IFERROR(__xludf.DUMMYFUNCTION("FLATTEN(ARRAYFORMULA(INDEX(A105:A109,INT((SEQUENCE(COUNTA(A105:A109)*3,1,0)/3)+1))))"),"Perplexity AI")</f>
        <v>Perplexity AI</v>
      </c>
      <c r="B110" s="6" t="str">
        <f>IFERROR(__xludf.DUMMYFUNCTION("FLATTEN(ARRAYFORMULA(INDEX(B105:B109,INT((SEQUENCE(COUNTA(B105:B109)*5,1,0)/5)+1))))"),"Perplexity AI, Inc.")</f>
        <v>Perplexity AI, Inc.</v>
      </c>
      <c r="C110" s="5" t="s">
        <v>163</v>
      </c>
      <c r="D110" s="5" t="s">
        <v>168</v>
      </c>
      <c r="E110" s="4" t="s">
        <v>158</v>
      </c>
      <c r="F110" s="4" t="s">
        <v>28</v>
      </c>
      <c r="G110" s="4" t="s">
        <v>29</v>
      </c>
      <c r="H110" s="4" t="s">
        <v>18</v>
      </c>
      <c r="I110" s="4" t="s">
        <v>165</v>
      </c>
      <c r="J110" s="4" t="s">
        <v>20</v>
      </c>
      <c r="K110" s="4" t="s">
        <v>24</v>
      </c>
    </row>
    <row r="111">
      <c r="A111" s="6" t="str">
        <f>IFERROR(__xludf.DUMMYFUNCTION("FLATTEN(ARRAYFORMULA(INDEX(A106:A110,INT((SEQUENCE(COUNTA(A106:A110)*3,1,0)/3)+1))))"),"Claude")</f>
        <v>Claude</v>
      </c>
      <c r="B111" s="6" t="str">
        <f>IFERROR(__xludf.DUMMYFUNCTION("FLATTEN(ARRAYFORMULA(INDEX(B106:B110,INT((SEQUENCE(COUNTA(B106:B110)*5,1,0)/5)+1))))"),"Anthropic")</f>
        <v>Anthropic</v>
      </c>
      <c r="C111" s="5" t="s">
        <v>163</v>
      </c>
      <c r="D111" s="5" t="s">
        <v>169</v>
      </c>
      <c r="E111" s="4" t="s">
        <v>158</v>
      </c>
      <c r="F111" s="4" t="s">
        <v>28</v>
      </c>
      <c r="G111" s="4" t="s">
        <v>29</v>
      </c>
      <c r="H111" s="4" t="s">
        <v>18</v>
      </c>
      <c r="I111" s="4" t="s">
        <v>165</v>
      </c>
      <c r="J111" s="4" t="s">
        <v>20</v>
      </c>
      <c r="K111" s="4" t="s">
        <v>18</v>
      </c>
    </row>
    <row r="112">
      <c r="A112" s="6" t="str">
        <f>IFERROR(__xludf.DUMMYFUNCTION("FLATTEN(ARRAYFORMULA(INDEX(A107:A111,INT((SEQUENCE(COUNTA(A107:A111)*3,1,0)/3)+1))))"),"Grok")</f>
        <v>Grok</v>
      </c>
      <c r="B112" s="6" t="str">
        <f>IFERROR(__xludf.DUMMYFUNCTION("FLATTEN(ARRAYFORMULA(INDEX(B107:B111,INT((SEQUENCE(COUNTA(B107:B111)*5,1,0)/5)+1))))"),"Xai")</f>
        <v>Xai</v>
      </c>
      <c r="C112" s="5" t="s">
        <v>170</v>
      </c>
      <c r="D112" s="5" t="s">
        <v>171</v>
      </c>
      <c r="E112" s="4" t="s">
        <v>158</v>
      </c>
      <c r="F112" s="4" t="s">
        <v>16</v>
      </c>
      <c r="G112" s="4" t="s">
        <v>33</v>
      </c>
      <c r="H112" s="4" t="s">
        <v>18</v>
      </c>
      <c r="I112" s="4" t="s">
        <v>165</v>
      </c>
      <c r="J112" s="4" t="s">
        <v>20</v>
      </c>
      <c r="K112" s="4" t="s">
        <v>18</v>
      </c>
    </row>
    <row r="113">
      <c r="A113" s="6" t="str">
        <f>IFERROR(__xludf.DUMMYFUNCTION("FLATTEN(ARRAYFORMULA(INDEX(A108:A112,INT((SEQUENCE(COUNTA(A108:A112)*3,1,0)/3)+1))))"),"Gemini")</f>
        <v>Gemini</v>
      </c>
      <c r="B113" s="6" t="str">
        <f>IFERROR(__xludf.DUMMYFUNCTION("FLATTEN(ARRAYFORMULA(INDEX(B108:B112,INT((SEQUENCE(COUNTA(B108:B112)*5,1,0)/5)+1))))"),"Google")</f>
        <v>Google</v>
      </c>
      <c r="C113" s="5" t="s">
        <v>170</v>
      </c>
      <c r="D113" s="5" t="s">
        <v>172</v>
      </c>
      <c r="E113" s="4" t="s">
        <v>158</v>
      </c>
      <c r="F113" s="4" t="s">
        <v>16</v>
      </c>
      <c r="G113" s="4" t="s">
        <v>17</v>
      </c>
      <c r="H113" s="4" t="s">
        <v>18</v>
      </c>
      <c r="I113" s="4" t="s">
        <v>165</v>
      </c>
      <c r="J113" s="4" t="s">
        <v>20</v>
      </c>
      <c r="K113" s="4" t="s">
        <v>18</v>
      </c>
    </row>
    <row r="114">
      <c r="A114" s="6" t="str">
        <f>IFERROR(__xludf.DUMMYFUNCTION("FLATTEN(ARRAYFORMULA(INDEX(A109:A113,INT((SEQUENCE(COUNTA(A109:A113)*3,1,0)/3)+1))))"),"Chat GPT")</f>
        <v>Chat GPT</v>
      </c>
      <c r="B114" s="6" t="str">
        <f>IFERROR(__xludf.DUMMYFUNCTION("FLATTEN(ARRAYFORMULA(INDEX(B109:B113,INT((SEQUENCE(COUNTA(B109:B113)*5,1,0)/5)+1))))"),"Open AI")</f>
        <v>Open AI</v>
      </c>
      <c r="C114" s="5" t="s">
        <v>170</v>
      </c>
      <c r="D114" s="5" t="s">
        <v>173</v>
      </c>
      <c r="E114" s="4" t="s">
        <v>158</v>
      </c>
      <c r="F114" s="4" t="s">
        <v>16</v>
      </c>
      <c r="G114" s="4" t="s">
        <v>17</v>
      </c>
      <c r="H114" s="4" t="s">
        <v>18</v>
      </c>
      <c r="I114" s="4" t="s">
        <v>73</v>
      </c>
      <c r="J114" s="4" t="s">
        <v>20</v>
      </c>
      <c r="K114" s="4" t="s">
        <v>18</v>
      </c>
    </row>
    <row r="115">
      <c r="A115" s="6" t="str">
        <f>IFERROR(__xludf.DUMMYFUNCTION("FLATTEN(ARRAYFORMULA(INDEX(A110:A114,INT((SEQUENCE(COUNTA(A110:A114)*3,1,0)/3)+1))))"),"Perplexity AI")</f>
        <v>Perplexity AI</v>
      </c>
      <c r="B115" s="6" t="str">
        <f>IFERROR(__xludf.DUMMYFUNCTION("FLATTEN(ARRAYFORMULA(INDEX(B110:B114,INT((SEQUENCE(COUNTA(B110:B114)*5,1,0)/5)+1))))"),"Perplexity AI, Inc.")</f>
        <v>Perplexity AI, Inc.</v>
      </c>
      <c r="C115" s="5" t="s">
        <v>170</v>
      </c>
      <c r="D115" s="5" t="s">
        <v>174</v>
      </c>
      <c r="E115" s="4" t="s">
        <v>158</v>
      </c>
      <c r="F115" s="4" t="s">
        <v>16</v>
      </c>
      <c r="G115" s="4" t="s">
        <v>17</v>
      </c>
      <c r="H115" s="4" t="s">
        <v>18</v>
      </c>
      <c r="I115" s="4" t="s">
        <v>165</v>
      </c>
      <c r="J115" s="4" t="s">
        <v>20</v>
      </c>
      <c r="K115" s="4" t="s">
        <v>24</v>
      </c>
    </row>
    <row r="116">
      <c r="A116" s="6" t="str">
        <f>IFERROR(__xludf.DUMMYFUNCTION("FLATTEN(ARRAYFORMULA(INDEX(A111:A115,INT((SEQUENCE(COUNTA(A111:A115)*3,1,0)/3)+1))))"),"Claude")</f>
        <v>Claude</v>
      </c>
      <c r="B116" s="6" t="str">
        <f>IFERROR(__xludf.DUMMYFUNCTION("FLATTEN(ARRAYFORMULA(INDEX(B111:B115,INT((SEQUENCE(COUNTA(B111:B115)*5,1,0)/5)+1))))"),"Anthropic")</f>
        <v>Anthropic</v>
      </c>
      <c r="C116" s="5" t="s">
        <v>170</v>
      </c>
      <c r="D116" s="5" t="s">
        <v>175</v>
      </c>
      <c r="E116" s="4" t="s">
        <v>158</v>
      </c>
      <c r="F116" s="4" t="s">
        <v>16</v>
      </c>
      <c r="G116" s="4" t="s">
        <v>17</v>
      </c>
      <c r="H116" s="4" t="s">
        <v>18</v>
      </c>
      <c r="I116" s="4" t="s">
        <v>73</v>
      </c>
      <c r="J116" s="4" t="s">
        <v>20</v>
      </c>
      <c r="K116" s="4" t="s">
        <v>18</v>
      </c>
    </row>
    <row r="117">
      <c r="A117" s="6" t="str">
        <f>IFERROR(__xludf.DUMMYFUNCTION("FLATTEN(ARRAYFORMULA(INDEX(A112:A116,INT((SEQUENCE(COUNTA(A112:A116)*3,1,0)/3)+1))))"),"Grok")</f>
        <v>Grok</v>
      </c>
      <c r="B117" s="6" t="str">
        <f>IFERROR(__xludf.DUMMYFUNCTION("FLATTEN(ARRAYFORMULA(INDEX(B112:B116,INT((SEQUENCE(COUNTA(B112:B116)*5,1,0)/5)+1))))"),"Xai")</f>
        <v>Xai</v>
      </c>
      <c r="C117" s="5" t="s">
        <v>176</v>
      </c>
      <c r="D117" s="5" t="s">
        <v>177</v>
      </c>
      <c r="E117" s="4" t="s">
        <v>158</v>
      </c>
      <c r="F117" s="4" t="s">
        <v>46</v>
      </c>
      <c r="G117" s="4" t="s">
        <v>29</v>
      </c>
      <c r="H117" s="4" t="s">
        <v>18</v>
      </c>
      <c r="I117" s="4" t="s">
        <v>19</v>
      </c>
      <c r="J117" s="4" t="s">
        <v>20</v>
      </c>
      <c r="K117" s="4" t="s">
        <v>18</v>
      </c>
    </row>
    <row r="118">
      <c r="A118" s="6" t="str">
        <f>IFERROR(__xludf.DUMMYFUNCTION("FLATTEN(ARRAYFORMULA(INDEX(A113:A117,INT((SEQUENCE(COUNTA(A113:A117)*3,1,0)/3)+1))))"),"Gemini")</f>
        <v>Gemini</v>
      </c>
      <c r="B118" s="6" t="str">
        <f>IFERROR(__xludf.DUMMYFUNCTION("FLATTEN(ARRAYFORMULA(INDEX(B113:B117,INT((SEQUENCE(COUNTA(B113:B117)*5,1,0)/5)+1))))"),"Google")</f>
        <v>Google</v>
      </c>
      <c r="C118" s="5" t="s">
        <v>176</v>
      </c>
      <c r="D118" s="5" t="s">
        <v>178</v>
      </c>
      <c r="E118" s="4" t="s">
        <v>158</v>
      </c>
      <c r="F118" s="4" t="s">
        <v>46</v>
      </c>
      <c r="G118" s="4" t="s">
        <v>29</v>
      </c>
      <c r="H118" s="4" t="s">
        <v>18</v>
      </c>
      <c r="I118" s="4" t="s">
        <v>73</v>
      </c>
      <c r="J118" s="4" t="s">
        <v>20</v>
      </c>
      <c r="K118" s="4" t="s">
        <v>18</v>
      </c>
    </row>
    <row r="119">
      <c r="A119" s="6" t="str">
        <f>IFERROR(__xludf.DUMMYFUNCTION("FLATTEN(ARRAYFORMULA(INDEX(A114:A118,INT((SEQUENCE(COUNTA(A114:A118)*3,1,0)/3)+1))))"),"Chat GPT")</f>
        <v>Chat GPT</v>
      </c>
      <c r="B119" s="6" t="str">
        <f>IFERROR(__xludf.DUMMYFUNCTION("FLATTEN(ARRAYFORMULA(INDEX(B114:B118,INT((SEQUENCE(COUNTA(B114:B118)*5,1,0)/5)+1))))"),"Open AI")</f>
        <v>Open AI</v>
      </c>
      <c r="C119" s="5" t="s">
        <v>176</v>
      </c>
      <c r="D119" s="5" t="s">
        <v>179</v>
      </c>
      <c r="E119" s="4" t="s">
        <v>158</v>
      </c>
      <c r="F119" s="4" t="s">
        <v>46</v>
      </c>
      <c r="G119" s="4" t="s">
        <v>29</v>
      </c>
      <c r="H119" s="4" t="s">
        <v>18</v>
      </c>
      <c r="I119" s="4" t="s">
        <v>73</v>
      </c>
      <c r="J119" s="4" t="s">
        <v>20</v>
      </c>
      <c r="K119" s="4" t="s">
        <v>18</v>
      </c>
    </row>
    <row r="120">
      <c r="A120" s="6" t="str">
        <f>IFERROR(__xludf.DUMMYFUNCTION("FLATTEN(ARRAYFORMULA(INDEX(A115:A119,INT((SEQUENCE(COUNTA(A115:A119)*3,1,0)/3)+1))))"),"Perplexity AI")</f>
        <v>Perplexity AI</v>
      </c>
      <c r="B120" s="6" t="str">
        <f>IFERROR(__xludf.DUMMYFUNCTION("FLATTEN(ARRAYFORMULA(INDEX(B115:B119,INT((SEQUENCE(COUNTA(B115:B119)*5,1,0)/5)+1))))"),"Perplexity AI, Inc.")</f>
        <v>Perplexity AI, Inc.</v>
      </c>
      <c r="C120" s="5" t="s">
        <v>176</v>
      </c>
      <c r="D120" s="5" t="s">
        <v>180</v>
      </c>
      <c r="E120" s="4" t="s">
        <v>158</v>
      </c>
      <c r="F120" s="4" t="s">
        <v>46</v>
      </c>
      <c r="G120" s="4" t="s">
        <v>29</v>
      </c>
      <c r="H120" s="4" t="s">
        <v>18</v>
      </c>
      <c r="I120" s="4" t="s">
        <v>19</v>
      </c>
      <c r="J120" s="4" t="s">
        <v>20</v>
      </c>
      <c r="K120" s="4" t="s">
        <v>24</v>
      </c>
    </row>
    <row r="121">
      <c r="A121" s="6" t="str">
        <f>IFERROR(__xludf.DUMMYFUNCTION("FLATTEN(ARRAYFORMULA(INDEX(A116:A120,INT((SEQUENCE(COUNTA(A116:A120)*3,1,0)/3)+1))))"),"Claude")</f>
        <v>Claude</v>
      </c>
      <c r="B121" s="6" t="str">
        <f>IFERROR(__xludf.DUMMYFUNCTION("FLATTEN(ARRAYFORMULA(INDEX(B116:B120,INT((SEQUENCE(COUNTA(B116:B120)*5,1,0)/5)+1))))"),"Anthropic")</f>
        <v>Anthropic</v>
      </c>
      <c r="C121" s="5" t="s">
        <v>176</v>
      </c>
      <c r="D121" s="5" t="s">
        <v>181</v>
      </c>
      <c r="E121" s="4" t="s">
        <v>158</v>
      </c>
      <c r="F121" s="4" t="s">
        <v>46</v>
      </c>
      <c r="G121" s="4" t="s">
        <v>29</v>
      </c>
      <c r="H121" s="4" t="s">
        <v>18</v>
      </c>
      <c r="I121" s="4" t="s">
        <v>73</v>
      </c>
      <c r="J121" s="4" t="s">
        <v>20</v>
      </c>
      <c r="K121" s="4" t="s">
        <v>18</v>
      </c>
    </row>
    <row r="122">
      <c r="A122" s="6" t="str">
        <f>IFERROR(__xludf.DUMMYFUNCTION("FLATTEN(ARRAYFORMULA(INDEX(A117:A121,INT((SEQUENCE(COUNTA(A117:A121)*3,1,0)/3)+1))))"),"Grok")</f>
        <v>Grok</v>
      </c>
      <c r="B122" s="6" t="str">
        <f>IFERROR(__xludf.DUMMYFUNCTION("FLATTEN(ARRAYFORMULA(INDEX(B117:B121,INT((SEQUENCE(COUNTA(B117:B121)*5,1,0)/5)+1))))"),"Xai")</f>
        <v>Xai</v>
      </c>
      <c r="C122" s="5" t="s">
        <v>182</v>
      </c>
      <c r="D122" s="5" t="s">
        <v>183</v>
      </c>
      <c r="E122" s="4" t="s">
        <v>158</v>
      </c>
      <c r="F122" s="4" t="s">
        <v>28</v>
      </c>
      <c r="G122" s="4" t="s">
        <v>29</v>
      </c>
      <c r="H122" s="4" t="s">
        <v>18</v>
      </c>
      <c r="I122" s="4" t="s">
        <v>73</v>
      </c>
      <c r="J122" s="4" t="s">
        <v>20</v>
      </c>
      <c r="K122" s="4" t="s">
        <v>18</v>
      </c>
    </row>
    <row r="123">
      <c r="A123" s="6" t="str">
        <f>IFERROR(__xludf.DUMMYFUNCTION("FLATTEN(ARRAYFORMULA(INDEX(A118:A122,INT((SEQUENCE(COUNTA(A118:A122)*3,1,0)/3)+1))))"),"Gemini")</f>
        <v>Gemini</v>
      </c>
      <c r="B123" s="6" t="str">
        <f>IFERROR(__xludf.DUMMYFUNCTION("FLATTEN(ARRAYFORMULA(INDEX(B118:B122,INT((SEQUENCE(COUNTA(B118:B122)*5,1,0)/5)+1))))"),"Google")</f>
        <v>Google</v>
      </c>
      <c r="C123" s="5" t="s">
        <v>182</v>
      </c>
      <c r="D123" s="5" t="s">
        <v>184</v>
      </c>
      <c r="E123" s="4" t="s">
        <v>158</v>
      </c>
      <c r="F123" s="4" t="s">
        <v>28</v>
      </c>
      <c r="G123" s="4" t="s">
        <v>29</v>
      </c>
      <c r="H123" s="4" t="s">
        <v>18</v>
      </c>
      <c r="I123" s="4" t="s">
        <v>73</v>
      </c>
      <c r="J123" s="4" t="s">
        <v>20</v>
      </c>
      <c r="K123" s="4" t="s">
        <v>18</v>
      </c>
    </row>
    <row r="124">
      <c r="A124" s="6" t="str">
        <f>IFERROR(__xludf.DUMMYFUNCTION("FLATTEN(ARRAYFORMULA(INDEX(A119:A123,INT((SEQUENCE(COUNTA(A119:A123)*3,1,0)/3)+1))))"),"Chat GPT")</f>
        <v>Chat GPT</v>
      </c>
      <c r="B124" s="6" t="str">
        <f>IFERROR(__xludf.DUMMYFUNCTION("FLATTEN(ARRAYFORMULA(INDEX(B119:B123,INT((SEQUENCE(COUNTA(B119:B123)*5,1,0)/5)+1))))"),"Open AI")</f>
        <v>Open AI</v>
      </c>
      <c r="C124" s="5" t="s">
        <v>182</v>
      </c>
      <c r="D124" s="5" t="s">
        <v>185</v>
      </c>
      <c r="E124" s="4" t="s">
        <v>158</v>
      </c>
      <c r="F124" s="4" t="s">
        <v>28</v>
      </c>
      <c r="G124" s="4" t="s">
        <v>29</v>
      </c>
      <c r="H124" s="4" t="s">
        <v>18</v>
      </c>
      <c r="I124" s="4" t="s">
        <v>73</v>
      </c>
      <c r="J124" s="4" t="s">
        <v>20</v>
      </c>
      <c r="K124" s="4" t="s">
        <v>18</v>
      </c>
    </row>
    <row r="125">
      <c r="A125" s="6" t="str">
        <f>IFERROR(__xludf.DUMMYFUNCTION("FLATTEN(ARRAYFORMULA(INDEX(A120:A124,INT((SEQUENCE(COUNTA(A120:A124)*3,1,0)/3)+1))))"),"Perplexity AI")</f>
        <v>Perplexity AI</v>
      </c>
      <c r="B125" s="6" t="str">
        <f>IFERROR(__xludf.DUMMYFUNCTION("FLATTEN(ARRAYFORMULA(INDEX(B120:B124,INT((SEQUENCE(COUNTA(B120:B124)*5,1,0)/5)+1))))"),"Perplexity AI, Inc.")</f>
        <v>Perplexity AI, Inc.</v>
      </c>
      <c r="C125" s="5" t="s">
        <v>182</v>
      </c>
      <c r="D125" s="5" t="s">
        <v>186</v>
      </c>
      <c r="E125" s="4" t="s">
        <v>158</v>
      </c>
      <c r="F125" s="4" t="s">
        <v>46</v>
      </c>
      <c r="G125" s="4" t="s">
        <v>29</v>
      </c>
      <c r="H125" s="4" t="s">
        <v>18</v>
      </c>
      <c r="I125" s="4" t="s">
        <v>73</v>
      </c>
      <c r="J125" s="4" t="s">
        <v>20</v>
      </c>
      <c r="K125" s="4" t="s">
        <v>24</v>
      </c>
    </row>
    <row r="126">
      <c r="A126" s="6" t="str">
        <f>IFERROR(__xludf.DUMMYFUNCTION("FLATTEN(ARRAYFORMULA(INDEX(A121:A125,INT((SEQUENCE(COUNTA(A121:A125)*3,1,0)/3)+1))))"),"Claude")</f>
        <v>Claude</v>
      </c>
      <c r="B126" s="6" t="str">
        <f>IFERROR(__xludf.DUMMYFUNCTION("FLATTEN(ARRAYFORMULA(INDEX(B121:B125,INT((SEQUENCE(COUNTA(B121:B125)*5,1,0)/5)+1))))"),"Anthropic")</f>
        <v>Anthropic</v>
      </c>
      <c r="C126" s="5" t="s">
        <v>182</v>
      </c>
      <c r="D126" s="5" t="s">
        <v>187</v>
      </c>
      <c r="E126" s="4" t="s">
        <v>158</v>
      </c>
      <c r="F126" s="4" t="s">
        <v>28</v>
      </c>
      <c r="G126" s="4" t="s">
        <v>29</v>
      </c>
      <c r="H126" s="4" t="s">
        <v>18</v>
      </c>
      <c r="I126" s="4" t="s">
        <v>73</v>
      </c>
      <c r="J126" s="4" t="s">
        <v>20</v>
      </c>
      <c r="K126" s="4" t="s">
        <v>18</v>
      </c>
    </row>
    <row r="127">
      <c r="A127" s="6" t="str">
        <f>IFERROR(__xludf.DUMMYFUNCTION("FLATTEN(ARRAYFORMULA(INDEX(A122:A126,INT((SEQUENCE(COUNTA(A122:A126)*3,1,0)/3)+1))))"),"Grok")</f>
        <v>Grok</v>
      </c>
      <c r="B127" s="6" t="str">
        <f>IFERROR(__xludf.DUMMYFUNCTION("FLATTEN(ARRAYFORMULA(INDEX(B122:B126,INT((SEQUENCE(COUNTA(B122:B126)*5,1,0)/5)+1))))"),"Xai")</f>
        <v>Xai</v>
      </c>
      <c r="C127" s="5" t="s">
        <v>188</v>
      </c>
      <c r="D127" s="5" t="s">
        <v>189</v>
      </c>
      <c r="E127" s="4" t="s">
        <v>158</v>
      </c>
      <c r="F127" s="4" t="s">
        <v>28</v>
      </c>
      <c r="G127" s="4" t="s">
        <v>29</v>
      </c>
      <c r="H127" s="4" t="s">
        <v>18</v>
      </c>
      <c r="I127" s="4" t="s">
        <v>165</v>
      </c>
      <c r="J127" s="4" t="s">
        <v>20</v>
      </c>
      <c r="K127" s="4" t="s">
        <v>18</v>
      </c>
    </row>
    <row r="128">
      <c r="A128" s="6" t="str">
        <f>IFERROR(__xludf.DUMMYFUNCTION("FLATTEN(ARRAYFORMULA(INDEX(A123:A127,INT((SEQUENCE(COUNTA(A123:A127)*3,1,0)/3)+1))))"),"Gemini")</f>
        <v>Gemini</v>
      </c>
      <c r="B128" s="6" t="str">
        <f>IFERROR(__xludf.DUMMYFUNCTION("FLATTEN(ARRAYFORMULA(INDEX(B123:B127,INT((SEQUENCE(COUNTA(B123:B127)*5,1,0)/5)+1))))"),"Google")</f>
        <v>Google</v>
      </c>
      <c r="C128" s="5" t="s">
        <v>188</v>
      </c>
      <c r="D128" s="5" t="s">
        <v>190</v>
      </c>
      <c r="E128" s="4" t="s">
        <v>158</v>
      </c>
      <c r="F128" s="4" t="s">
        <v>28</v>
      </c>
      <c r="G128" s="4" t="s">
        <v>29</v>
      </c>
      <c r="H128" s="4" t="s">
        <v>18</v>
      </c>
      <c r="I128" s="4" t="s">
        <v>73</v>
      </c>
      <c r="J128" s="4" t="s">
        <v>20</v>
      </c>
      <c r="K128" s="4" t="s">
        <v>18</v>
      </c>
    </row>
    <row r="129">
      <c r="A129" s="6" t="str">
        <f>IFERROR(__xludf.DUMMYFUNCTION("FLATTEN(ARRAYFORMULA(INDEX(A124:A128,INT((SEQUENCE(COUNTA(A124:A128)*3,1,0)/3)+1))))"),"Chat GPT")</f>
        <v>Chat GPT</v>
      </c>
      <c r="B129" s="6" t="str">
        <f>IFERROR(__xludf.DUMMYFUNCTION("FLATTEN(ARRAYFORMULA(INDEX(B124:B128,INT((SEQUENCE(COUNTA(B124:B128)*5,1,0)/5)+1))))"),"Open AI")</f>
        <v>Open AI</v>
      </c>
      <c r="C129" s="5" t="s">
        <v>188</v>
      </c>
      <c r="D129" s="5" t="s">
        <v>191</v>
      </c>
      <c r="E129" s="4" t="s">
        <v>158</v>
      </c>
      <c r="F129" s="4" t="s">
        <v>28</v>
      </c>
      <c r="G129" s="4" t="s">
        <v>29</v>
      </c>
      <c r="H129" s="4" t="s">
        <v>18</v>
      </c>
      <c r="I129" s="4" t="s">
        <v>73</v>
      </c>
      <c r="J129" s="4" t="s">
        <v>20</v>
      </c>
      <c r="K129" s="4" t="s">
        <v>18</v>
      </c>
    </row>
    <row r="130">
      <c r="A130" s="6" t="str">
        <f>IFERROR(__xludf.DUMMYFUNCTION("FLATTEN(ARRAYFORMULA(INDEX(A125:A129,INT((SEQUENCE(COUNTA(A125:A129)*3,1,0)/3)+1))))"),"Perplexity AI")</f>
        <v>Perplexity AI</v>
      </c>
      <c r="B130" s="6" t="str">
        <f>IFERROR(__xludf.DUMMYFUNCTION("FLATTEN(ARRAYFORMULA(INDEX(B125:B129,INT((SEQUENCE(COUNTA(B125:B129)*5,1,0)/5)+1))))"),"Perplexity AI, Inc.")</f>
        <v>Perplexity AI, Inc.</v>
      </c>
      <c r="C130" s="5" t="s">
        <v>188</v>
      </c>
      <c r="D130" s="5" t="s">
        <v>192</v>
      </c>
      <c r="E130" s="4" t="s">
        <v>158</v>
      </c>
      <c r="F130" s="4" t="s">
        <v>28</v>
      </c>
      <c r="G130" s="4" t="s">
        <v>29</v>
      </c>
      <c r="H130" s="4" t="s">
        <v>18</v>
      </c>
      <c r="I130" s="4" t="s">
        <v>73</v>
      </c>
      <c r="J130" s="4" t="s">
        <v>20</v>
      </c>
      <c r="K130" s="4" t="s">
        <v>24</v>
      </c>
    </row>
    <row r="131">
      <c r="A131" s="6" t="str">
        <f>IFERROR(__xludf.DUMMYFUNCTION("FLATTEN(ARRAYFORMULA(INDEX(A126:A130,INT((SEQUENCE(COUNTA(A126:A130)*3,1,0)/3)+1))))"),"Claude")</f>
        <v>Claude</v>
      </c>
      <c r="B131" s="6" t="str">
        <f>IFERROR(__xludf.DUMMYFUNCTION("FLATTEN(ARRAYFORMULA(INDEX(B126:B130,INT((SEQUENCE(COUNTA(B126:B130)*5,1,0)/5)+1))))"),"Anthropic")</f>
        <v>Anthropic</v>
      </c>
      <c r="C131" s="5" t="s">
        <v>188</v>
      </c>
      <c r="D131" s="5" t="s">
        <v>193</v>
      </c>
      <c r="E131" s="4" t="s">
        <v>158</v>
      </c>
      <c r="F131" s="4" t="s">
        <v>28</v>
      </c>
      <c r="G131" s="4" t="s">
        <v>17</v>
      </c>
      <c r="H131" s="4" t="s">
        <v>18</v>
      </c>
      <c r="I131" s="4" t="s">
        <v>73</v>
      </c>
      <c r="J131" s="4" t="s">
        <v>20</v>
      </c>
      <c r="K131" s="4" t="s">
        <v>18</v>
      </c>
    </row>
    <row r="132">
      <c r="A132" s="6" t="str">
        <f>IFERROR(__xludf.DUMMYFUNCTION("FLATTEN(ARRAYFORMULA(INDEX(A127:A131,INT((SEQUENCE(COUNTA(A127:A131)*3,1,0)/3)+1))))"),"Grok")</f>
        <v>Grok</v>
      </c>
      <c r="B132" s="6" t="str">
        <f>IFERROR(__xludf.DUMMYFUNCTION("FLATTEN(ARRAYFORMULA(INDEX(B127:B131,INT((SEQUENCE(COUNTA(B127:B131)*5,1,0)/5)+1))))"),"Xai")</f>
        <v>Xai</v>
      </c>
      <c r="C132" s="5" t="s">
        <v>194</v>
      </c>
      <c r="D132" s="5" t="s">
        <v>195</v>
      </c>
      <c r="E132" s="4" t="s">
        <v>158</v>
      </c>
      <c r="F132" s="4" t="s">
        <v>46</v>
      </c>
      <c r="G132" s="4" t="s">
        <v>29</v>
      </c>
      <c r="H132" s="4" t="s">
        <v>18</v>
      </c>
      <c r="I132" s="4" t="s">
        <v>19</v>
      </c>
      <c r="J132" s="4" t="s">
        <v>20</v>
      </c>
      <c r="K132" s="4" t="s">
        <v>18</v>
      </c>
    </row>
    <row r="133">
      <c r="A133" s="6" t="str">
        <f>IFERROR(__xludf.DUMMYFUNCTION("FLATTEN(ARRAYFORMULA(INDEX(A128:A132,INT((SEQUENCE(COUNTA(A128:A132)*3,1,0)/3)+1))))"),"Gemini")</f>
        <v>Gemini</v>
      </c>
      <c r="B133" s="6" t="str">
        <f>IFERROR(__xludf.DUMMYFUNCTION("FLATTEN(ARRAYFORMULA(INDEX(B128:B132,INT((SEQUENCE(COUNTA(B128:B132)*5,1,0)/5)+1))))"),"Google")</f>
        <v>Google</v>
      </c>
      <c r="C133" s="5" t="s">
        <v>194</v>
      </c>
      <c r="D133" s="5" t="s">
        <v>196</v>
      </c>
      <c r="E133" s="4" t="s">
        <v>158</v>
      </c>
      <c r="F133" s="4" t="s">
        <v>46</v>
      </c>
      <c r="G133" s="4" t="s">
        <v>29</v>
      </c>
      <c r="H133" s="4" t="s">
        <v>18</v>
      </c>
      <c r="I133" s="4" t="s">
        <v>73</v>
      </c>
      <c r="J133" s="4" t="s">
        <v>20</v>
      </c>
      <c r="K133" s="4" t="s">
        <v>18</v>
      </c>
    </row>
    <row r="134">
      <c r="A134" s="6" t="str">
        <f>IFERROR(__xludf.DUMMYFUNCTION("FLATTEN(ARRAYFORMULA(INDEX(A129:A133,INT((SEQUENCE(COUNTA(A129:A133)*3,1,0)/3)+1))))"),"Chat GPT")</f>
        <v>Chat GPT</v>
      </c>
      <c r="B134" s="6" t="str">
        <f>IFERROR(__xludf.DUMMYFUNCTION("FLATTEN(ARRAYFORMULA(INDEX(B129:B133,INT((SEQUENCE(COUNTA(B129:B133)*5,1,0)/5)+1))))"),"Open AI")</f>
        <v>Open AI</v>
      </c>
      <c r="C134" s="5" t="s">
        <v>194</v>
      </c>
      <c r="D134" s="5" t="s">
        <v>197</v>
      </c>
      <c r="E134" s="4" t="s">
        <v>158</v>
      </c>
      <c r="F134" s="4" t="s">
        <v>46</v>
      </c>
      <c r="G134" s="4" t="s">
        <v>29</v>
      </c>
      <c r="H134" s="4" t="s">
        <v>18</v>
      </c>
      <c r="I134" s="4" t="s">
        <v>73</v>
      </c>
      <c r="J134" s="4" t="s">
        <v>20</v>
      </c>
      <c r="K134" s="4" t="s">
        <v>18</v>
      </c>
    </row>
    <row r="135">
      <c r="A135" s="6" t="str">
        <f>IFERROR(__xludf.DUMMYFUNCTION("FLATTEN(ARRAYFORMULA(INDEX(A130:A134,INT((SEQUENCE(COUNTA(A130:A134)*3,1,0)/3)+1))))"),"Perplexity AI")</f>
        <v>Perplexity AI</v>
      </c>
      <c r="B135" s="6" t="str">
        <f>IFERROR(__xludf.DUMMYFUNCTION("FLATTEN(ARRAYFORMULA(INDEX(B130:B134,INT((SEQUENCE(COUNTA(B130:B134)*5,1,0)/5)+1))))"),"Perplexity AI, Inc.")</f>
        <v>Perplexity AI, Inc.</v>
      </c>
      <c r="C135" s="5" t="s">
        <v>194</v>
      </c>
      <c r="D135" s="5" t="s">
        <v>198</v>
      </c>
      <c r="E135" s="4" t="s">
        <v>158</v>
      </c>
      <c r="F135" s="4" t="s">
        <v>46</v>
      </c>
      <c r="G135" s="4" t="s">
        <v>29</v>
      </c>
      <c r="H135" s="4" t="s">
        <v>18</v>
      </c>
      <c r="I135" s="4" t="s">
        <v>73</v>
      </c>
      <c r="J135" s="4" t="s">
        <v>20</v>
      </c>
      <c r="K135" s="4" t="s">
        <v>24</v>
      </c>
    </row>
    <row r="136">
      <c r="A136" s="6" t="str">
        <f>IFERROR(__xludf.DUMMYFUNCTION("FLATTEN(ARRAYFORMULA(INDEX(A131:A135,INT((SEQUENCE(COUNTA(A131:A135)*3,1,0)/3)+1))))"),"Claude")</f>
        <v>Claude</v>
      </c>
      <c r="B136" s="6" t="str">
        <f>IFERROR(__xludf.DUMMYFUNCTION("FLATTEN(ARRAYFORMULA(INDEX(B131:B135,INT((SEQUENCE(COUNTA(B131:B135)*5,1,0)/5)+1))))"),"Anthropic")</f>
        <v>Anthropic</v>
      </c>
      <c r="C136" s="5" t="s">
        <v>194</v>
      </c>
      <c r="D136" s="5" t="s">
        <v>199</v>
      </c>
      <c r="E136" s="4" t="s">
        <v>158</v>
      </c>
      <c r="F136" s="4" t="s">
        <v>28</v>
      </c>
      <c r="G136" s="4" t="s">
        <v>17</v>
      </c>
      <c r="H136" s="4" t="s">
        <v>18</v>
      </c>
      <c r="I136" s="4" t="s">
        <v>19</v>
      </c>
      <c r="J136" s="4" t="s">
        <v>20</v>
      </c>
      <c r="K136" s="4" t="s">
        <v>18</v>
      </c>
    </row>
    <row r="137">
      <c r="A137" s="6" t="str">
        <f>IFERROR(__xludf.DUMMYFUNCTION("FLATTEN(ARRAYFORMULA(INDEX(A132:A136,INT((SEQUENCE(COUNTA(A132:A136)*3,1,0)/3)+1))))"),"Grok")</f>
        <v>Grok</v>
      </c>
      <c r="B137" s="6" t="str">
        <f>IFERROR(__xludf.DUMMYFUNCTION("FLATTEN(ARRAYFORMULA(INDEX(B132:B136,INT((SEQUENCE(COUNTA(B132:B136)*5,1,0)/5)+1))))"),"Xai")</f>
        <v>Xai</v>
      </c>
      <c r="C137" s="5" t="s">
        <v>200</v>
      </c>
      <c r="D137" s="5" t="s">
        <v>201</v>
      </c>
      <c r="E137" s="4" t="s">
        <v>158</v>
      </c>
      <c r="F137" s="4" t="s">
        <v>46</v>
      </c>
      <c r="G137" s="4" t="s">
        <v>29</v>
      </c>
      <c r="H137" s="4" t="s">
        <v>24</v>
      </c>
      <c r="I137" s="4" t="s">
        <v>73</v>
      </c>
      <c r="J137" s="4" t="s">
        <v>122</v>
      </c>
      <c r="K137" s="4" t="s">
        <v>18</v>
      </c>
    </row>
    <row r="138">
      <c r="A138" s="6" t="str">
        <f>IFERROR(__xludf.DUMMYFUNCTION("FLATTEN(ARRAYFORMULA(INDEX(A133:A137,INT((SEQUENCE(COUNTA(A133:A137)*3,1,0)/3)+1))))"),"Gemini")</f>
        <v>Gemini</v>
      </c>
      <c r="B138" s="6" t="str">
        <f>IFERROR(__xludf.DUMMYFUNCTION("FLATTEN(ARRAYFORMULA(INDEX(B133:B137,INT((SEQUENCE(COUNTA(B133:B137)*5,1,0)/5)+1))))"),"Google")</f>
        <v>Google</v>
      </c>
      <c r="C138" s="5" t="s">
        <v>200</v>
      </c>
      <c r="D138" s="5" t="s">
        <v>202</v>
      </c>
      <c r="E138" s="4" t="s">
        <v>158</v>
      </c>
      <c r="F138" s="4" t="s">
        <v>46</v>
      </c>
      <c r="G138" s="4" t="s">
        <v>29</v>
      </c>
      <c r="H138" s="4" t="s">
        <v>18</v>
      </c>
      <c r="I138" s="4" t="s">
        <v>73</v>
      </c>
      <c r="J138" s="4" t="s">
        <v>122</v>
      </c>
      <c r="K138" s="4" t="s">
        <v>18</v>
      </c>
    </row>
    <row r="139">
      <c r="A139" s="6" t="str">
        <f>IFERROR(__xludf.DUMMYFUNCTION("FLATTEN(ARRAYFORMULA(INDEX(A134:A138,INT((SEQUENCE(COUNTA(A134:A138)*3,1,0)/3)+1))))"),"Chat GPT")</f>
        <v>Chat GPT</v>
      </c>
      <c r="B139" s="6" t="str">
        <f>IFERROR(__xludf.DUMMYFUNCTION("FLATTEN(ARRAYFORMULA(INDEX(B134:B138,INT((SEQUENCE(COUNTA(B134:B138)*5,1,0)/5)+1))))"),"Open AI")</f>
        <v>Open AI</v>
      </c>
      <c r="C139" s="5" t="s">
        <v>200</v>
      </c>
      <c r="D139" s="5" t="s">
        <v>203</v>
      </c>
      <c r="E139" s="4" t="s">
        <v>158</v>
      </c>
      <c r="F139" s="4" t="s">
        <v>46</v>
      </c>
      <c r="G139" s="4" t="s">
        <v>29</v>
      </c>
      <c r="H139" s="4" t="s">
        <v>24</v>
      </c>
      <c r="I139" s="4" t="s">
        <v>73</v>
      </c>
      <c r="J139" s="4" t="s">
        <v>20</v>
      </c>
      <c r="K139" s="4" t="s">
        <v>18</v>
      </c>
    </row>
    <row r="140">
      <c r="A140" s="6" t="str">
        <f>IFERROR(__xludf.DUMMYFUNCTION("FLATTEN(ARRAYFORMULA(INDEX(A135:A139,INT((SEQUENCE(COUNTA(A135:A139)*3,1,0)/3)+1))))"),"Perplexity AI")</f>
        <v>Perplexity AI</v>
      </c>
      <c r="B140" s="6" t="str">
        <f>IFERROR(__xludf.DUMMYFUNCTION("FLATTEN(ARRAYFORMULA(INDEX(B135:B139,INT((SEQUENCE(COUNTA(B135:B139)*5,1,0)/5)+1))))"),"Perplexity AI, Inc.")</f>
        <v>Perplexity AI, Inc.</v>
      </c>
      <c r="C140" s="5" t="s">
        <v>200</v>
      </c>
      <c r="D140" s="5" t="s">
        <v>204</v>
      </c>
      <c r="E140" s="4" t="s">
        <v>158</v>
      </c>
      <c r="F140" s="4" t="s">
        <v>46</v>
      </c>
      <c r="G140" s="4" t="s">
        <v>29</v>
      </c>
      <c r="H140" s="4" t="s">
        <v>24</v>
      </c>
      <c r="I140" s="4" t="s">
        <v>73</v>
      </c>
      <c r="J140" s="4" t="s">
        <v>20</v>
      </c>
      <c r="K140" s="4" t="s">
        <v>24</v>
      </c>
    </row>
    <row r="141">
      <c r="A141" s="6" t="str">
        <f>IFERROR(__xludf.DUMMYFUNCTION("FLATTEN(ARRAYFORMULA(INDEX(A136:A140,INT((SEQUENCE(COUNTA(A136:A140)*3,1,0)/3)+1))))"),"Claude")</f>
        <v>Claude</v>
      </c>
      <c r="B141" s="6" t="str">
        <f>IFERROR(__xludf.DUMMYFUNCTION("FLATTEN(ARRAYFORMULA(INDEX(B136:B140,INT((SEQUENCE(COUNTA(B136:B140)*5,1,0)/5)+1))))"),"Anthropic")</f>
        <v>Anthropic</v>
      </c>
      <c r="C141" s="5" t="s">
        <v>200</v>
      </c>
      <c r="D141" s="5" t="s">
        <v>205</v>
      </c>
      <c r="E141" s="4" t="s">
        <v>158</v>
      </c>
      <c r="F141" s="4" t="s">
        <v>46</v>
      </c>
      <c r="G141" s="4" t="s">
        <v>29</v>
      </c>
      <c r="H141" s="4" t="s">
        <v>24</v>
      </c>
      <c r="I141" s="4" t="s">
        <v>73</v>
      </c>
      <c r="J141" s="4" t="s">
        <v>20</v>
      </c>
      <c r="K141" s="4" t="s">
        <v>18</v>
      </c>
    </row>
    <row r="142">
      <c r="A142" s="6" t="str">
        <f>IFERROR(__xludf.DUMMYFUNCTION("FLATTEN(ARRAYFORMULA(INDEX(A137:A141,INT((SEQUENCE(COUNTA(A137:A141)*3,1,0)/3)+1))))"),"Grok")</f>
        <v>Grok</v>
      </c>
      <c r="B142" s="6" t="str">
        <f>IFERROR(__xludf.DUMMYFUNCTION("FLATTEN(ARRAYFORMULA(INDEX(B137:B141,INT((SEQUENCE(COUNTA(B137:B141)*5,1,0)/5)+1))))"),"Xai")</f>
        <v>Xai</v>
      </c>
      <c r="C142" s="5" t="s">
        <v>206</v>
      </c>
      <c r="D142" s="5" t="s">
        <v>207</v>
      </c>
      <c r="E142" s="4" t="s">
        <v>158</v>
      </c>
      <c r="F142" s="4" t="s">
        <v>28</v>
      </c>
      <c r="G142" s="4" t="s">
        <v>29</v>
      </c>
      <c r="H142" s="4" t="s">
        <v>18</v>
      </c>
      <c r="I142" s="4" t="s">
        <v>19</v>
      </c>
      <c r="J142" s="4" t="s">
        <v>20</v>
      </c>
      <c r="K142" s="4" t="s">
        <v>18</v>
      </c>
    </row>
    <row r="143">
      <c r="A143" s="6" t="str">
        <f>IFERROR(__xludf.DUMMYFUNCTION("FLATTEN(ARRAYFORMULA(INDEX(A138:A142,INT((SEQUENCE(COUNTA(A138:A142)*3,1,0)/3)+1))))"),"Gemini")</f>
        <v>Gemini</v>
      </c>
      <c r="B143" s="6" t="str">
        <f>IFERROR(__xludf.DUMMYFUNCTION("FLATTEN(ARRAYFORMULA(INDEX(B138:B142,INT((SEQUENCE(COUNTA(B138:B142)*5,1,0)/5)+1))))"),"Google")</f>
        <v>Google</v>
      </c>
      <c r="C143" s="5" t="s">
        <v>206</v>
      </c>
      <c r="D143" s="5" t="s">
        <v>208</v>
      </c>
      <c r="E143" s="4" t="s">
        <v>158</v>
      </c>
      <c r="F143" s="4" t="s">
        <v>28</v>
      </c>
      <c r="G143" s="4" t="s">
        <v>29</v>
      </c>
      <c r="H143" s="4" t="s">
        <v>18</v>
      </c>
      <c r="I143" s="4" t="s">
        <v>19</v>
      </c>
      <c r="J143" s="4" t="s">
        <v>20</v>
      </c>
      <c r="K143" s="4" t="s">
        <v>18</v>
      </c>
    </row>
    <row r="144">
      <c r="A144" s="6" t="str">
        <f>IFERROR(__xludf.DUMMYFUNCTION("FLATTEN(ARRAYFORMULA(INDEX(A139:A143,INT((SEQUENCE(COUNTA(A139:A143)*3,1,0)/3)+1))))"),"Chat GPT")</f>
        <v>Chat GPT</v>
      </c>
      <c r="B144" s="6" t="str">
        <f>IFERROR(__xludf.DUMMYFUNCTION("FLATTEN(ARRAYFORMULA(INDEX(B139:B143,INT((SEQUENCE(COUNTA(B139:B143)*5,1,0)/5)+1))))"),"Open AI")</f>
        <v>Open AI</v>
      </c>
      <c r="C144" s="5" t="s">
        <v>206</v>
      </c>
      <c r="D144" s="5" t="s">
        <v>209</v>
      </c>
      <c r="E144" s="4" t="s">
        <v>158</v>
      </c>
      <c r="F144" s="4" t="s">
        <v>28</v>
      </c>
      <c r="G144" s="4" t="s">
        <v>29</v>
      </c>
      <c r="H144" s="4" t="s">
        <v>18</v>
      </c>
      <c r="I144" s="4" t="s">
        <v>19</v>
      </c>
      <c r="J144" s="4" t="s">
        <v>20</v>
      </c>
      <c r="K144" s="4" t="s">
        <v>18</v>
      </c>
    </row>
    <row r="145">
      <c r="A145" s="6" t="str">
        <f>IFERROR(__xludf.DUMMYFUNCTION("FLATTEN(ARRAYFORMULA(INDEX(A140:A144,INT((SEQUENCE(COUNTA(A140:A144)*3,1,0)/3)+1))))"),"Perplexity AI")</f>
        <v>Perplexity AI</v>
      </c>
      <c r="B145" s="6" t="str">
        <f>IFERROR(__xludf.DUMMYFUNCTION("FLATTEN(ARRAYFORMULA(INDEX(B140:B144,INT((SEQUENCE(COUNTA(B140:B144)*5,1,0)/5)+1))))"),"Perplexity AI, Inc.")</f>
        <v>Perplexity AI, Inc.</v>
      </c>
      <c r="C145" s="5" t="s">
        <v>206</v>
      </c>
      <c r="D145" s="5" t="s">
        <v>210</v>
      </c>
      <c r="E145" s="4" t="s">
        <v>158</v>
      </c>
      <c r="F145" s="4" t="s">
        <v>46</v>
      </c>
      <c r="G145" s="4" t="s">
        <v>29</v>
      </c>
      <c r="H145" s="4" t="s">
        <v>18</v>
      </c>
      <c r="I145" s="4" t="s">
        <v>19</v>
      </c>
      <c r="J145" s="4" t="s">
        <v>20</v>
      </c>
      <c r="K145" s="4" t="s">
        <v>24</v>
      </c>
    </row>
    <row r="146">
      <c r="A146" s="6" t="str">
        <f>IFERROR(__xludf.DUMMYFUNCTION("FLATTEN(ARRAYFORMULA(INDEX(A141:A145,INT((SEQUENCE(COUNTA(A141:A145)*3,1,0)/3)+1))))"),"Claude")</f>
        <v>Claude</v>
      </c>
      <c r="B146" s="6" t="str">
        <f>IFERROR(__xludf.DUMMYFUNCTION("FLATTEN(ARRAYFORMULA(INDEX(B141:B145,INT((SEQUENCE(COUNTA(B141:B145)*5,1,0)/5)+1))))"),"Anthropic")</f>
        <v>Anthropic</v>
      </c>
      <c r="C146" s="5" t="s">
        <v>206</v>
      </c>
      <c r="D146" s="5" t="s">
        <v>211</v>
      </c>
      <c r="E146" s="4" t="s">
        <v>158</v>
      </c>
      <c r="F146" s="4" t="s">
        <v>28</v>
      </c>
      <c r="G146" s="4" t="s">
        <v>29</v>
      </c>
      <c r="H146" s="4" t="s">
        <v>18</v>
      </c>
      <c r="I146" s="4" t="s">
        <v>19</v>
      </c>
      <c r="J146" s="4" t="s">
        <v>20</v>
      </c>
      <c r="K146" s="4" t="s">
        <v>18</v>
      </c>
    </row>
    <row r="147">
      <c r="A147" s="6" t="str">
        <f>IFERROR(__xludf.DUMMYFUNCTION("FLATTEN(ARRAYFORMULA(INDEX(A142:A146,INT((SEQUENCE(COUNTA(A142:A146)*3,1,0)/3)+1))))"),"Grok")</f>
        <v>Grok</v>
      </c>
      <c r="B147" s="6" t="str">
        <f>IFERROR(__xludf.DUMMYFUNCTION("FLATTEN(ARRAYFORMULA(INDEX(B142:B146,INT((SEQUENCE(COUNTA(B142:B146)*5,1,0)/5)+1))))"),"Xai")</f>
        <v>Xai</v>
      </c>
      <c r="C147" s="5" t="s">
        <v>212</v>
      </c>
      <c r="D147" s="5" t="s">
        <v>213</v>
      </c>
      <c r="E147" s="4" t="s">
        <v>158</v>
      </c>
      <c r="F147" s="4" t="s">
        <v>16</v>
      </c>
      <c r="G147" s="4" t="s">
        <v>17</v>
      </c>
      <c r="H147" s="4" t="s">
        <v>18</v>
      </c>
      <c r="I147" s="4" t="s">
        <v>73</v>
      </c>
      <c r="J147" s="4" t="s">
        <v>20</v>
      </c>
      <c r="K147" s="4" t="s">
        <v>18</v>
      </c>
    </row>
    <row r="148">
      <c r="A148" s="6" t="str">
        <f>IFERROR(__xludf.DUMMYFUNCTION("FLATTEN(ARRAYFORMULA(INDEX(A143:A147,INT((SEQUENCE(COUNTA(A143:A147)*3,1,0)/3)+1))))"),"Gemini")</f>
        <v>Gemini</v>
      </c>
      <c r="B148" s="6" t="str">
        <f>IFERROR(__xludf.DUMMYFUNCTION("FLATTEN(ARRAYFORMULA(INDEX(B143:B147,INT((SEQUENCE(COUNTA(B143:B147)*5,1,0)/5)+1))))"),"Google")</f>
        <v>Google</v>
      </c>
      <c r="C148" s="5" t="s">
        <v>212</v>
      </c>
      <c r="D148" s="5" t="s">
        <v>214</v>
      </c>
      <c r="E148" s="4" t="s">
        <v>158</v>
      </c>
      <c r="F148" s="4" t="s">
        <v>16</v>
      </c>
      <c r="G148" s="4" t="s">
        <v>29</v>
      </c>
      <c r="H148" s="4" t="s">
        <v>18</v>
      </c>
      <c r="I148" s="4" t="s">
        <v>165</v>
      </c>
      <c r="J148" s="4" t="s">
        <v>20</v>
      </c>
      <c r="K148" s="4" t="s">
        <v>18</v>
      </c>
    </row>
    <row r="149">
      <c r="A149" s="6" t="str">
        <f>IFERROR(__xludf.DUMMYFUNCTION("FLATTEN(ARRAYFORMULA(INDEX(A144:A148,INT((SEQUENCE(COUNTA(A144:A148)*3,1,0)/3)+1))))"),"Chat GPT")</f>
        <v>Chat GPT</v>
      </c>
      <c r="B149" s="6" t="str">
        <f>IFERROR(__xludf.DUMMYFUNCTION("FLATTEN(ARRAYFORMULA(INDEX(B144:B148,INT((SEQUENCE(COUNTA(B144:B148)*5,1,0)/5)+1))))"),"Open AI")</f>
        <v>Open AI</v>
      </c>
      <c r="C149" s="5" t="s">
        <v>212</v>
      </c>
      <c r="D149" s="5" t="s">
        <v>215</v>
      </c>
      <c r="E149" s="4" t="s">
        <v>158</v>
      </c>
      <c r="F149" s="4" t="s">
        <v>16</v>
      </c>
      <c r="G149" s="4" t="s">
        <v>29</v>
      </c>
      <c r="H149" s="4" t="s">
        <v>18</v>
      </c>
      <c r="I149" s="4" t="s">
        <v>73</v>
      </c>
      <c r="J149" s="4" t="s">
        <v>20</v>
      </c>
      <c r="K149" s="4" t="s">
        <v>18</v>
      </c>
    </row>
    <row r="150">
      <c r="A150" s="6" t="str">
        <f>IFERROR(__xludf.DUMMYFUNCTION("FLATTEN(ARRAYFORMULA(INDEX(A145:A149,INT((SEQUENCE(COUNTA(A145:A149)*3,1,0)/3)+1))))"),"Perplexity AI")</f>
        <v>Perplexity AI</v>
      </c>
      <c r="B150" s="6" t="str">
        <f>IFERROR(__xludf.DUMMYFUNCTION("FLATTEN(ARRAYFORMULA(INDEX(B145:B149,INT((SEQUENCE(COUNTA(B145:B149)*5,1,0)/5)+1))))"),"Perplexity AI, Inc.")</f>
        <v>Perplexity AI, Inc.</v>
      </c>
      <c r="C150" s="5" t="s">
        <v>212</v>
      </c>
      <c r="D150" s="5" t="s">
        <v>216</v>
      </c>
      <c r="E150" s="4" t="s">
        <v>158</v>
      </c>
      <c r="F150" s="4" t="s">
        <v>28</v>
      </c>
      <c r="G150" s="4" t="s">
        <v>29</v>
      </c>
      <c r="H150" s="4" t="s">
        <v>18</v>
      </c>
      <c r="I150" s="4" t="s">
        <v>165</v>
      </c>
      <c r="J150" s="4" t="s">
        <v>20</v>
      </c>
      <c r="K150" s="4" t="s">
        <v>24</v>
      </c>
    </row>
    <row r="151">
      <c r="A151" s="6" t="str">
        <f>IFERROR(__xludf.DUMMYFUNCTION("FLATTEN(ARRAYFORMULA(INDEX(A146:A150,INT((SEQUENCE(COUNTA(A146:A150)*3,1,0)/3)+1))))"),"Claude")</f>
        <v>Claude</v>
      </c>
      <c r="B151" s="6" t="str">
        <f>IFERROR(__xludf.DUMMYFUNCTION("FLATTEN(ARRAYFORMULA(INDEX(B146:B150,INT((SEQUENCE(COUNTA(B146:B150)*5,1,0)/5)+1))))"),"Anthropic")</f>
        <v>Anthropic</v>
      </c>
      <c r="C151" s="5" t="s">
        <v>212</v>
      </c>
      <c r="D151" s="5" t="s">
        <v>217</v>
      </c>
      <c r="E151" s="4" t="s">
        <v>158</v>
      </c>
      <c r="F151" s="4" t="s">
        <v>28</v>
      </c>
      <c r="G151" s="4" t="s">
        <v>17</v>
      </c>
      <c r="H151" s="4" t="s">
        <v>18</v>
      </c>
      <c r="I151" s="4" t="s">
        <v>165</v>
      </c>
      <c r="J151" s="4" t="s">
        <v>20</v>
      </c>
      <c r="K151" s="4" t="s">
        <v>18</v>
      </c>
    </row>
    <row r="152">
      <c r="A152" s="6" t="str">
        <f>IFERROR(__xludf.DUMMYFUNCTION("FLATTEN(ARRAYFORMULA(INDEX(A147:A151,INT((SEQUENCE(COUNTA(A147:A151)*3,1,0)/3)+1))))"),"Grok")</f>
        <v>Grok</v>
      </c>
      <c r="B152" s="6" t="str">
        <f>IFERROR(__xludf.DUMMYFUNCTION("FLATTEN(ARRAYFORMULA(INDEX(B147:B151,INT((SEQUENCE(COUNTA(B147:B151)*5,1,0)/5)+1))))"),"Xai")</f>
        <v>Xai</v>
      </c>
      <c r="C152" s="5" t="s">
        <v>218</v>
      </c>
      <c r="D152" s="5" t="s">
        <v>219</v>
      </c>
      <c r="E152" s="4" t="s">
        <v>220</v>
      </c>
      <c r="F152" s="4" t="s">
        <v>46</v>
      </c>
      <c r="G152" s="4" t="s">
        <v>29</v>
      </c>
      <c r="H152" s="4" t="s">
        <v>18</v>
      </c>
      <c r="I152" s="4" t="s">
        <v>19</v>
      </c>
      <c r="J152" s="4" t="s">
        <v>20</v>
      </c>
      <c r="K152" s="4" t="s">
        <v>18</v>
      </c>
    </row>
    <row r="153">
      <c r="A153" s="6" t="str">
        <f>IFERROR(__xludf.DUMMYFUNCTION("FLATTEN(ARRAYFORMULA(INDEX(A148:A152,INT((SEQUENCE(COUNTA(A148:A152)*3,1,0)/3)+1))))"),"Gemini")</f>
        <v>Gemini</v>
      </c>
      <c r="B153" s="6" t="str">
        <f>IFERROR(__xludf.DUMMYFUNCTION("FLATTEN(ARRAYFORMULA(INDEX(B148:B152,INT((SEQUENCE(COUNTA(B148:B152)*5,1,0)/5)+1))))"),"Google")</f>
        <v>Google</v>
      </c>
      <c r="C153" s="5" t="s">
        <v>218</v>
      </c>
      <c r="D153" s="5" t="s">
        <v>221</v>
      </c>
      <c r="E153" s="4" t="s">
        <v>220</v>
      </c>
      <c r="F153" s="4" t="s">
        <v>46</v>
      </c>
      <c r="G153" s="4" t="s">
        <v>29</v>
      </c>
      <c r="H153" s="4" t="s">
        <v>18</v>
      </c>
      <c r="I153" s="4" t="s">
        <v>19</v>
      </c>
      <c r="J153" s="4" t="s">
        <v>34</v>
      </c>
      <c r="K153" s="4" t="s">
        <v>18</v>
      </c>
    </row>
    <row r="154">
      <c r="A154" s="6" t="str">
        <f>IFERROR(__xludf.DUMMYFUNCTION("FLATTEN(ARRAYFORMULA(INDEX(A149:A153,INT((SEQUENCE(COUNTA(A149:A153)*3,1,0)/3)+1))))"),"Chat GPT")</f>
        <v>Chat GPT</v>
      </c>
      <c r="B154" s="6" t="str">
        <f>IFERROR(__xludf.DUMMYFUNCTION("FLATTEN(ARRAYFORMULA(INDEX(B149:B153,INT((SEQUENCE(COUNTA(B149:B153)*5,1,0)/5)+1))))"),"Open AI")</f>
        <v>Open AI</v>
      </c>
      <c r="C154" s="5" t="s">
        <v>218</v>
      </c>
      <c r="D154" s="5" t="s">
        <v>222</v>
      </c>
      <c r="E154" s="4" t="s">
        <v>220</v>
      </c>
      <c r="F154" s="4" t="s">
        <v>46</v>
      </c>
      <c r="G154" s="4" t="s">
        <v>29</v>
      </c>
      <c r="H154" s="4" t="s">
        <v>24</v>
      </c>
      <c r="I154" s="4" t="s">
        <v>73</v>
      </c>
      <c r="J154" s="4" t="s">
        <v>34</v>
      </c>
      <c r="K154" s="4" t="s">
        <v>18</v>
      </c>
    </row>
    <row r="155">
      <c r="A155" s="6" t="str">
        <f>IFERROR(__xludf.DUMMYFUNCTION("FLATTEN(ARRAYFORMULA(INDEX(A150:A154,INT((SEQUENCE(COUNTA(A150:A154)*3,1,0)/3)+1))))"),"Perplexity AI")</f>
        <v>Perplexity AI</v>
      </c>
      <c r="B155" s="6" t="str">
        <f>IFERROR(__xludf.DUMMYFUNCTION("FLATTEN(ARRAYFORMULA(INDEX(B150:B154,INT((SEQUENCE(COUNTA(B150:B154)*5,1,0)/5)+1))))"),"Perplexity AI, Inc.")</f>
        <v>Perplexity AI, Inc.</v>
      </c>
      <c r="C155" s="5" t="s">
        <v>218</v>
      </c>
      <c r="D155" s="5" t="s">
        <v>223</v>
      </c>
      <c r="E155" s="4" t="s">
        <v>220</v>
      </c>
      <c r="F155" s="4" t="s">
        <v>46</v>
      </c>
      <c r="G155" s="4" t="s">
        <v>29</v>
      </c>
      <c r="H155" s="4" t="s">
        <v>18</v>
      </c>
      <c r="I155" s="4" t="s">
        <v>19</v>
      </c>
      <c r="J155" s="4" t="s">
        <v>34</v>
      </c>
      <c r="K155" s="4" t="s">
        <v>24</v>
      </c>
    </row>
    <row r="156">
      <c r="A156" s="6" t="str">
        <f>IFERROR(__xludf.DUMMYFUNCTION("FLATTEN(ARRAYFORMULA(INDEX(A151:A155,INT((SEQUENCE(COUNTA(A151:A155)*3,1,0)/3)+1))))"),"Claude")</f>
        <v>Claude</v>
      </c>
      <c r="B156" s="6" t="str">
        <f>IFERROR(__xludf.DUMMYFUNCTION("FLATTEN(ARRAYFORMULA(INDEX(B151:B155,INT((SEQUENCE(COUNTA(B151:B155)*5,1,0)/5)+1))))"),"Anthropic")</f>
        <v>Anthropic</v>
      </c>
      <c r="C156" s="5" t="s">
        <v>218</v>
      </c>
      <c r="D156" s="5" t="s">
        <v>224</v>
      </c>
      <c r="E156" s="4" t="s">
        <v>220</v>
      </c>
      <c r="F156" s="4" t="s">
        <v>46</v>
      </c>
      <c r="G156" s="4" t="s">
        <v>29</v>
      </c>
      <c r="H156" s="4" t="s">
        <v>24</v>
      </c>
      <c r="I156" s="4" t="s">
        <v>19</v>
      </c>
      <c r="J156" s="4" t="s">
        <v>34</v>
      </c>
      <c r="K156" s="4" t="s">
        <v>18</v>
      </c>
    </row>
    <row r="157">
      <c r="A157" s="6" t="str">
        <f>IFERROR(__xludf.DUMMYFUNCTION("FLATTEN(ARRAYFORMULA(INDEX(A152:A156,INT((SEQUENCE(COUNTA(A152:A156)*3,1,0)/3)+1))))"),"Grok")</f>
        <v>Grok</v>
      </c>
      <c r="B157" s="6" t="str">
        <f>IFERROR(__xludf.DUMMYFUNCTION("FLATTEN(ARRAYFORMULA(INDEX(B152:B156,INT((SEQUENCE(COUNTA(B152:B156)*5,1,0)/5)+1))))"),"Xai")</f>
        <v>Xai</v>
      </c>
      <c r="C157" s="5" t="s">
        <v>225</v>
      </c>
      <c r="D157" s="5" t="s">
        <v>226</v>
      </c>
      <c r="E157" s="4" t="s">
        <v>220</v>
      </c>
      <c r="F157" s="4" t="s">
        <v>46</v>
      </c>
      <c r="G157" s="4" t="s">
        <v>29</v>
      </c>
      <c r="H157" s="4" t="s">
        <v>18</v>
      </c>
      <c r="I157" s="4" t="s">
        <v>19</v>
      </c>
      <c r="J157" s="4" t="s">
        <v>34</v>
      </c>
      <c r="K157" s="4" t="s">
        <v>18</v>
      </c>
    </row>
    <row r="158">
      <c r="A158" s="6" t="str">
        <f>IFERROR(__xludf.DUMMYFUNCTION("FLATTEN(ARRAYFORMULA(INDEX(A153:A157,INT((SEQUENCE(COUNTA(A153:A157)*3,1,0)/3)+1))))"),"Gemini")</f>
        <v>Gemini</v>
      </c>
      <c r="B158" s="6" t="str">
        <f>IFERROR(__xludf.DUMMYFUNCTION("FLATTEN(ARRAYFORMULA(INDEX(B153:B157,INT((SEQUENCE(COUNTA(B153:B157)*5,1,0)/5)+1))))"),"Google")</f>
        <v>Google</v>
      </c>
      <c r="C158" s="5" t="s">
        <v>225</v>
      </c>
      <c r="D158" s="5" t="s">
        <v>227</v>
      </c>
      <c r="E158" s="4" t="s">
        <v>220</v>
      </c>
      <c r="F158" s="4" t="s">
        <v>46</v>
      </c>
      <c r="G158" s="4" t="s">
        <v>29</v>
      </c>
      <c r="H158" s="4" t="s">
        <v>18</v>
      </c>
      <c r="I158" s="4" t="s">
        <v>19</v>
      </c>
      <c r="J158" s="4" t="s">
        <v>34</v>
      </c>
      <c r="K158" s="4" t="s">
        <v>24</v>
      </c>
    </row>
    <row r="159">
      <c r="A159" s="6" t="str">
        <f>IFERROR(__xludf.DUMMYFUNCTION("FLATTEN(ARRAYFORMULA(INDEX(A154:A158,INT((SEQUENCE(COUNTA(A154:A158)*3,1,0)/3)+1))))"),"Chat GPT")</f>
        <v>Chat GPT</v>
      </c>
      <c r="B159" s="6" t="str">
        <f>IFERROR(__xludf.DUMMYFUNCTION("FLATTEN(ARRAYFORMULA(INDEX(B154:B158,INT((SEQUENCE(COUNTA(B154:B158)*5,1,0)/5)+1))))"),"Open AI")</f>
        <v>Open AI</v>
      </c>
      <c r="C159" s="5" t="s">
        <v>225</v>
      </c>
      <c r="D159" s="5" t="s">
        <v>228</v>
      </c>
      <c r="E159" s="4" t="s">
        <v>220</v>
      </c>
      <c r="F159" s="4" t="s">
        <v>46</v>
      </c>
      <c r="G159" s="4" t="s">
        <v>29</v>
      </c>
      <c r="H159" s="4" t="s">
        <v>18</v>
      </c>
      <c r="I159" s="4" t="s">
        <v>19</v>
      </c>
      <c r="J159" s="4" t="s">
        <v>34</v>
      </c>
      <c r="K159" s="4" t="s">
        <v>18</v>
      </c>
    </row>
    <row r="160">
      <c r="A160" s="6" t="str">
        <f>IFERROR(__xludf.DUMMYFUNCTION("FLATTEN(ARRAYFORMULA(INDEX(A155:A159,INT((SEQUENCE(COUNTA(A155:A159)*3,1,0)/3)+1))))"),"Perplexity AI")</f>
        <v>Perplexity AI</v>
      </c>
      <c r="B160" s="6" t="str">
        <f>IFERROR(__xludf.DUMMYFUNCTION("FLATTEN(ARRAYFORMULA(INDEX(B155:B159,INT((SEQUENCE(COUNTA(B155:B159)*5,1,0)/5)+1))))"),"Perplexity AI, Inc.")</f>
        <v>Perplexity AI, Inc.</v>
      </c>
      <c r="C160" s="5" t="s">
        <v>225</v>
      </c>
      <c r="D160" s="5" t="s">
        <v>229</v>
      </c>
      <c r="E160" s="4" t="s">
        <v>220</v>
      </c>
      <c r="F160" s="4" t="s">
        <v>46</v>
      </c>
      <c r="G160" s="4" t="s">
        <v>29</v>
      </c>
      <c r="H160" s="4" t="s">
        <v>18</v>
      </c>
      <c r="I160" s="4" t="s">
        <v>19</v>
      </c>
      <c r="J160" s="4" t="s">
        <v>34</v>
      </c>
      <c r="K160" s="4" t="s">
        <v>24</v>
      </c>
    </row>
    <row r="161">
      <c r="A161" s="6" t="str">
        <f>IFERROR(__xludf.DUMMYFUNCTION("FLATTEN(ARRAYFORMULA(INDEX(A156:A160,INT((SEQUENCE(COUNTA(A156:A160)*3,1,0)/3)+1))))"),"Claude")</f>
        <v>Claude</v>
      </c>
      <c r="B161" s="6" t="str">
        <f>IFERROR(__xludf.DUMMYFUNCTION("FLATTEN(ARRAYFORMULA(INDEX(B156:B160,INT((SEQUENCE(COUNTA(B156:B160)*5,1,0)/5)+1))))"),"Anthropic")</f>
        <v>Anthropic</v>
      </c>
      <c r="C161" s="5" t="s">
        <v>225</v>
      </c>
      <c r="D161" s="5" t="s">
        <v>230</v>
      </c>
      <c r="E161" s="4" t="s">
        <v>220</v>
      </c>
      <c r="F161" s="4" t="s">
        <v>46</v>
      </c>
      <c r="G161" s="4" t="s">
        <v>29</v>
      </c>
      <c r="H161" s="4" t="s">
        <v>18</v>
      </c>
      <c r="I161" s="4" t="s">
        <v>19</v>
      </c>
      <c r="J161" s="4" t="s">
        <v>34</v>
      </c>
      <c r="K161" s="4" t="s">
        <v>18</v>
      </c>
    </row>
    <row r="162">
      <c r="A162" s="6" t="str">
        <f>IFERROR(__xludf.DUMMYFUNCTION("FLATTEN(ARRAYFORMULA(INDEX(A157:A161,INT((SEQUENCE(COUNTA(A157:A161)*3,1,0)/3)+1))))"),"Grok")</f>
        <v>Grok</v>
      </c>
      <c r="B162" s="6" t="str">
        <f>IFERROR(__xludf.DUMMYFUNCTION("FLATTEN(ARRAYFORMULA(INDEX(B157:B161,INT((SEQUENCE(COUNTA(B157:B161)*5,1,0)/5)+1))))"),"Xai")</f>
        <v>Xai</v>
      </c>
      <c r="C162" s="5" t="s">
        <v>231</v>
      </c>
      <c r="D162" s="5" t="s">
        <v>232</v>
      </c>
      <c r="E162" s="4" t="s">
        <v>220</v>
      </c>
      <c r="F162" s="4" t="s">
        <v>28</v>
      </c>
      <c r="G162" s="4" t="s">
        <v>17</v>
      </c>
      <c r="H162" s="4" t="s">
        <v>18</v>
      </c>
      <c r="I162" s="4" t="s">
        <v>19</v>
      </c>
      <c r="J162" s="4" t="s">
        <v>34</v>
      </c>
      <c r="K162" s="4" t="s">
        <v>18</v>
      </c>
    </row>
    <row r="163">
      <c r="A163" s="6" t="str">
        <f>IFERROR(__xludf.DUMMYFUNCTION("FLATTEN(ARRAYFORMULA(INDEX(A158:A162,INT((SEQUENCE(COUNTA(A158:A162)*3,1,0)/3)+1))))"),"Gemini")</f>
        <v>Gemini</v>
      </c>
      <c r="B163" s="6" t="str">
        <f>IFERROR(__xludf.DUMMYFUNCTION("FLATTEN(ARRAYFORMULA(INDEX(B158:B162,INT((SEQUENCE(COUNTA(B158:B162)*5,1,0)/5)+1))))"),"Google")</f>
        <v>Google</v>
      </c>
      <c r="C163" s="5" t="s">
        <v>231</v>
      </c>
      <c r="D163" s="5" t="s">
        <v>233</v>
      </c>
      <c r="E163" s="4" t="s">
        <v>220</v>
      </c>
      <c r="F163" s="4" t="s">
        <v>46</v>
      </c>
      <c r="G163" s="4" t="s">
        <v>29</v>
      </c>
      <c r="H163" s="4" t="s">
        <v>18</v>
      </c>
      <c r="I163" s="4" t="s">
        <v>19</v>
      </c>
      <c r="J163" s="4" t="s">
        <v>34</v>
      </c>
      <c r="K163" s="4" t="s">
        <v>24</v>
      </c>
    </row>
    <row r="164">
      <c r="A164" s="6" t="str">
        <f>IFERROR(__xludf.DUMMYFUNCTION("FLATTEN(ARRAYFORMULA(INDEX(A159:A163,INT((SEQUENCE(COUNTA(A159:A163)*3,1,0)/3)+1))))"),"Chat GPT")</f>
        <v>Chat GPT</v>
      </c>
      <c r="B164" s="6" t="str">
        <f>IFERROR(__xludf.DUMMYFUNCTION("FLATTEN(ARRAYFORMULA(INDEX(B159:B163,INT((SEQUENCE(COUNTA(B159:B163)*5,1,0)/5)+1))))"),"Open AI")</f>
        <v>Open AI</v>
      </c>
      <c r="C164" s="5" t="s">
        <v>231</v>
      </c>
      <c r="D164" s="5" t="s">
        <v>234</v>
      </c>
      <c r="E164" s="4" t="s">
        <v>220</v>
      </c>
      <c r="F164" s="4" t="s">
        <v>46</v>
      </c>
      <c r="G164" s="4" t="s">
        <v>29</v>
      </c>
      <c r="H164" s="4" t="s">
        <v>18</v>
      </c>
      <c r="I164" s="4" t="s">
        <v>19</v>
      </c>
      <c r="J164" s="4" t="s">
        <v>34</v>
      </c>
      <c r="K164" s="4" t="s">
        <v>18</v>
      </c>
    </row>
    <row r="165">
      <c r="A165" s="6" t="str">
        <f>IFERROR(__xludf.DUMMYFUNCTION("FLATTEN(ARRAYFORMULA(INDEX(A160:A164,INT((SEQUENCE(COUNTA(A160:A164)*3,1,0)/3)+1))))"),"Perplexity AI")</f>
        <v>Perplexity AI</v>
      </c>
      <c r="B165" s="6" t="str">
        <f>IFERROR(__xludf.DUMMYFUNCTION("FLATTEN(ARRAYFORMULA(INDEX(B160:B164,INT((SEQUENCE(COUNTA(B160:B164)*5,1,0)/5)+1))))"),"Perplexity AI, Inc.")</f>
        <v>Perplexity AI, Inc.</v>
      </c>
      <c r="C165" s="5" t="s">
        <v>231</v>
      </c>
      <c r="D165" s="5" t="s">
        <v>235</v>
      </c>
      <c r="E165" s="4" t="s">
        <v>220</v>
      </c>
      <c r="F165" s="4" t="s">
        <v>46</v>
      </c>
      <c r="G165" s="4" t="s">
        <v>29</v>
      </c>
      <c r="H165" s="4" t="s">
        <v>18</v>
      </c>
      <c r="I165" s="4" t="s">
        <v>19</v>
      </c>
      <c r="J165" s="4" t="s">
        <v>20</v>
      </c>
      <c r="K165" s="4" t="s">
        <v>24</v>
      </c>
    </row>
    <row r="166">
      <c r="A166" s="6" t="str">
        <f>IFERROR(__xludf.DUMMYFUNCTION("FLATTEN(ARRAYFORMULA(INDEX(A161:A165,INT((SEQUENCE(COUNTA(A161:A165)*3,1,0)/3)+1))))"),"Claude")</f>
        <v>Claude</v>
      </c>
      <c r="B166" s="6" t="str">
        <f>IFERROR(__xludf.DUMMYFUNCTION("FLATTEN(ARRAYFORMULA(INDEX(B161:B165,INT((SEQUENCE(COUNTA(B161:B165)*5,1,0)/5)+1))))"),"Anthropic")</f>
        <v>Anthropic</v>
      </c>
      <c r="C166" s="5" t="s">
        <v>231</v>
      </c>
      <c r="D166" s="5" t="s">
        <v>236</v>
      </c>
      <c r="E166" s="4" t="s">
        <v>220</v>
      </c>
      <c r="F166" s="4" t="s">
        <v>28</v>
      </c>
      <c r="G166" s="4" t="s">
        <v>17</v>
      </c>
      <c r="H166" s="4" t="s">
        <v>18</v>
      </c>
      <c r="I166" s="4" t="s">
        <v>19</v>
      </c>
      <c r="J166" s="4" t="s">
        <v>34</v>
      </c>
      <c r="K166" s="4" t="s">
        <v>18</v>
      </c>
    </row>
    <row r="167">
      <c r="A167" s="6" t="str">
        <f>IFERROR(__xludf.DUMMYFUNCTION("FLATTEN(ARRAYFORMULA(INDEX(A162:A166,INT((SEQUENCE(COUNTA(A162:A166)*3,1,0)/3)+1))))"),"Grok")</f>
        <v>Grok</v>
      </c>
      <c r="B167" s="6" t="str">
        <f>IFERROR(__xludf.DUMMYFUNCTION("FLATTEN(ARRAYFORMULA(INDEX(B162:B166,INT((SEQUENCE(COUNTA(B162:B166)*5,1,0)/5)+1))))"),"Xai")</f>
        <v>Xai</v>
      </c>
      <c r="C167" s="5" t="s">
        <v>237</v>
      </c>
      <c r="D167" s="5" t="s">
        <v>238</v>
      </c>
      <c r="E167" s="4" t="s">
        <v>220</v>
      </c>
      <c r="F167" s="4" t="s">
        <v>28</v>
      </c>
      <c r="G167" s="4" t="s">
        <v>17</v>
      </c>
      <c r="H167" s="4" t="s">
        <v>24</v>
      </c>
      <c r="I167" s="4" t="s">
        <v>19</v>
      </c>
      <c r="J167" s="4" t="s">
        <v>34</v>
      </c>
      <c r="K167" s="4" t="s">
        <v>18</v>
      </c>
    </row>
    <row r="168">
      <c r="A168" s="6" t="str">
        <f>IFERROR(__xludf.DUMMYFUNCTION("FLATTEN(ARRAYFORMULA(INDEX(A163:A167,INT((SEQUENCE(COUNTA(A163:A167)*3,1,0)/3)+1))))"),"Gemini")</f>
        <v>Gemini</v>
      </c>
      <c r="B168" s="6" t="str">
        <f>IFERROR(__xludf.DUMMYFUNCTION("FLATTEN(ARRAYFORMULA(INDEX(B163:B167,INT((SEQUENCE(COUNTA(B163:B167)*5,1,0)/5)+1))))"),"Google")</f>
        <v>Google</v>
      </c>
      <c r="C168" s="5" t="s">
        <v>237</v>
      </c>
      <c r="D168" s="5" t="s">
        <v>239</v>
      </c>
      <c r="E168" s="4" t="s">
        <v>220</v>
      </c>
      <c r="F168" s="4" t="s">
        <v>28</v>
      </c>
      <c r="G168" s="4" t="s">
        <v>29</v>
      </c>
      <c r="H168" s="4" t="s">
        <v>24</v>
      </c>
      <c r="I168" s="4" t="s">
        <v>19</v>
      </c>
      <c r="J168" s="4" t="s">
        <v>20</v>
      </c>
      <c r="K168" s="4" t="s">
        <v>24</v>
      </c>
    </row>
    <row r="169">
      <c r="A169" s="6" t="str">
        <f>IFERROR(__xludf.DUMMYFUNCTION("FLATTEN(ARRAYFORMULA(INDEX(A164:A168,INT((SEQUENCE(COUNTA(A164:A168)*3,1,0)/3)+1))))"),"Chat GPT")</f>
        <v>Chat GPT</v>
      </c>
      <c r="B169" s="6" t="str">
        <f>IFERROR(__xludf.DUMMYFUNCTION("FLATTEN(ARRAYFORMULA(INDEX(B164:B168,INT((SEQUENCE(COUNTA(B164:B168)*5,1,0)/5)+1))))"),"Open AI")</f>
        <v>Open AI</v>
      </c>
      <c r="C169" s="5" t="s">
        <v>237</v>
      </c>
      <c r="D169" s="5" t="s">
        <v>240</v>
      </c>
      <c r="E169" s="4" t="s">
        <v>220</v>
      </c>
      <c r="F169" s="4" t="s">
        <v>28</v>
      </c>
      <c r="G169" s="4" t="s">
        <v>29</v>
      </c>
      <c r="H169" s="4" t="s">
        <v>24</v>
      </c>
      <c r="I169" s="4" t="s">
        <v>19</v>
      </c>
      <c r="J169" s="4" t="s">
        <v>20</v>
      </c>
      <c r="K169" s="4" t="s">
        <v>24</v>
      </c>
    </row>
    <row r="170">
      <c r="A170" s="6" t="str">
        <f>IFERROR(__xludf.DUMMYFUNCTION("FLATTEN(ARRAYFORMULA(INDEX(A165:A169,INT((SEQUENCE(COUNTA(A165:A169)*3,1,0)/3)+1))))"),"Perplexity AI")</f>
        <v>Perplexity AI</v>
      </c>
      <c r="B170" s="6" t="str">
        <f>IFERROR(__xludf.DUMMYFUNCTION("FLATTEN(ARRAYFORMULA(INDEX(B165:B169,INT((SEQUENCE(COUNTA(B165:B169)*5,1,0)/5)+1))))"),"Perplexity AI, Inc.")</f>
        <v>Perplexity AI, Inc.</v>
      </c>
      <c r="C170" s="5" t="s">
        <v>237</v>
      </c>
      <c r="D170" s="5" t="s">
        <v>241</v>
      </c>
      <c r="E170" s="4" t="s">
        <v>220</v>
      </c>
      <c r="F170" s="4" t="s">
        <v>28</v>
      </c>
      <c r="G170" s="4" t="s">
        <v>29</v>
      </c>
      <c r="H170" s="4" t="s">
        <v>24</v>
      </c>
      <c r="I170" s="4" t="s">
        <v>19</v>
      </c>
      <c r="J170" s="4" t="s">
        <v>20</v>
      </c>
      <c r="K170" s="4" t="s">
        <v>24</v>
      </c>
    </row>
    <row r="171">
      <c r="A171" s="6" t="str">
        <f>IFERROR(__xludf.DUMMYFUNCTION("FLATTEN(ARRAYFORMULA(INDEX(A166:A170,INT((SEQUENCE(COUNTA(A166:A170)*3,1,0)/3)+1))))"),"Claude")</f>
        <v>Claude</v>
      </c>
      <c r="B171" s="6" t="str">
        <f>IFERROR(__xludf.DUMMYFUNCTION("FLATTEN(ARRAYFORMULA(INDEX(B166:B170,INT((SEQUENCE(COUNTA(B166:B170)*5,1,0)/5)+1))))"),"Anthropic")</f>
        <v>Anthropic</v>
      </c>
      <c r="C171" s="5" t="s">
        <v>237</v>
      </c>
      <c r="D171" s="5" t="s">
        <v>242</v>
      </c>
      <c r="E171" s="4" t="s">
        <v>220</v>
      </c>
      <c r="F171" s="4" t="s">
        <v>28</v>
      </c>
      <c r="G171" s="4" t="s">
        <v>29</v>
      </c>
      <c r="H171" s="4" t="s">
        <v>24</v>
      </c>
      <c r="I171" s="4" t="s">
        <v>19</v>
      </c>
      <c r="J171" s="4" t="s">
        <v>122</v>
      </c>
      <c r="K171" s="4" t="s">
        <v>18</v>
      </c>
    </row>
    <row r="172">
      <c r="A172" s="6" t="str">
        <f>IFERROR(__xludf.DUMMYFUNCTION("FLATTEN(ARRAYFORMULA(INDEX(A167:A171,INT((SEQUENCE(COUNTA(A167:A171)*3,1,0)/3)+1))))"),"Grok")</f>
        <v>Grok</v>
      </c>
      <c r="B172" s="6" t="str">
        <f>IFERROR(__xludf.DUMMYFUNCTION("FLATTEN(ARRAYFORMULA(INDEX(B167:B171,INT((SEQUENCE(COUNTA(B167:B171)*5,1,0)/5)+1))))"),"Xai")</f>
        <v>Xai</v>
      </c>
      <c r="C172" s="5" t="s">
        <v>243</v>
      </c>
      <c r="D172" s="5" t="s">
        <v>244</v>
      </c>
      <c r="E172" s="4" t="s">
        <v>220</v>
      </c>
      <c r="F172" s="4" t="s">
        <v>16</v>
      </c>
      <c r="G172" s="4" t="s">
        <v>17</v>
      </c>
      <c r="H172" s="4" t="s">
        <v>18</v>
      </c>
      <c r="I172" s="4" t="s">
        <v>19</v>
      </c>
      <c r="J172" s="4" t="s">
        <v>34</v>
      </c>
      <c r="K172" s="4" t="s">
        <v>18</v>
      </c>
    </row>
    <row r="173">
      <c r="A173" s="6" t="str">
        <f>IFERROR(__xludf.DUMMYFUNCTION("FLATTEN(ARRAYFORMULA(INDEX(A168:A172,INT((SEQUENCE(COUNTA(A168:A172)*3,1,0)/3)+1))))"),"Gemini")</f>
        <v>Gemini</v>
      </c>
      <c r="B173" s="6" t="str">
        <f>IFERROR(__xludf.DUMMYFUNCTION("FLATTEN(ARRAYFORMULA(INDEX(B168:B172,INT((SEQUENCE(COUNTA(B168:B172)*5,1,0)/5)+1))))"),"Google")</f>
        <v>Google</v>
      </c>
      <c r="C173" s="5" t="s">
        <v>243</v>
      </c>
      <c r="D173" s="5" t="s">
        <v>245</v>
      </c>
      <c r="E173" s="4" t="s">
        <v>220</v>
      </c>
      <c r="F173" s="4" t="s">
        <v>28</v>
      </c>
      <c r="G173" s="4" t="s">
        <v>17</v>
      </c>
      <c r="H173" s="4" t="s">
        <v>18</v>
      </c>
      <c r="I173" s="4" t="s">
        <v>19</v>
      </c>
      <c r="J173" s="4" t="s">
        <v>20</v>
      </c>
      <c r="K173" s="4" t="s">
        <v>24</v>
      </c>
    </row>
    <row r="174">
      <c r="A174" s="6" t="str">
        <f>IFERROR(__xludf.DUMMYFUNCTION("FLATTEN(ARRAYFORMULA(INDEX(A169:A173,INT((SEQUENCE(COUNTA(A169:A173)*3,1,0)/3)+1))))"),"Chat GPT")</f>
        <v>Chat GPT</v>
      </c>
      <c r="B174" s="6" t="str">
        <f>IFERROR(__xludf.DUMMYFUNCTION("FLATTEN(ARRAYFORMULA(INDEX(B169:B173,INT((SEQUENCE(COUNTA(B169:B173)*5,1,0)/5)+1))))"),"Open AI")</f>
        <v>Open AI</v>
      </c>
      <c r="C174" s="5" t="s">
        <v>243</v>
      </c>
      <c r="D174" s="5" t="s">
        <v>246</v>
      </c>
      <c r="E174" s="4" t="s">
        <v>220</v>
      </c>
      <c r="F174" s="4" t="s">
        <v>28</v>
      </c>
      <c r="G174" s="4" t="s">
        <v>29</v>
      </c>
      <c r="H174" s="4" t="s">
        <v>18</v>
      </c>
      <c r="I174" s="4" t="s">
        <v>19</v>
      </c>
      <c r="J174" s="4" t="s">
        <v>20</v>
      </c>
      <c r="K174" s="4" t="s">
        <v>18</v>
      </c>
    </row>
    <row r="175">
      <c r="A175" s="6" t="str">
        <f>IFERROR(__xludf.DUMMYFUNCTION("FLATTEN(ARRAYFORMULA(INDEX(A170:A174,INT((SEQUENCE(COUNTA(A170:A174)*3,1,0)/3)+1))))"),"Perplexity AI")</f>
        <v>Perplexity AI</v>
      </c>
      <c r="B175" s="6" t="str">
        <f>IFERROR(__xludf.DUMMYFUNCTION("FLATTEN(ARRAYFORMULA(INDEX(B170:B174,INT((SEQUENCE(COUNTA(B170:B174)*5,1,0)/5)+1))))"),"Perplexity AI, Inc.")</f>
        <v>Perplexity AI, Inc.</v>
      </c>
      <c r="C175" s="5" t="s">
        <v>243</v>
      </c>
      <c r="D175" s="5" t="s">
        <v>247</v>
      </c>
      <c r="E175" s="4" t="s">
        <v>220</v>
      </c>
      <c r="F175" s="4" t="s">
        <v>46</v>
      </c>
      <c r="G175" s="4" t="s">
        <v>29</v>
      </c>
      <c r="H175" s="4" t="s">
        <v>18</v>
      </c>
      <c r="I175" s="4" t="s">
        <v>19</v>
      </c>
      <c r="J175" s="4" t="s">
        <v>20</v>
      </c>
      <c r="K175" s="4" t="s">
        <v>24</v>
      </c>
    </row>
    <row r="176">
      <c r="A176" s="6" t="str">
        <f>IFERROR(__xludf.DUMMYFUNCTION("FLATTEN(ARRAYFORMULA(INDEX(A171:A175,INT((SEQUENCE(COUNTA(A171:A175)*3,1,0)/3)+1))))"),"Claude")</f>
        <v>Claude</v>
      </c>
      <c r="B176" s="6" t="str">
        <f>IFERROR(__xludf.DUMMYFUNCTION("FLATTEN(ARRAYFORMULA(INDEX(B171:B175,INT((SEQUENCE(COUNTA(B171:B175)*5,1,0)/5)+1))))"),"Anthropic")</f>
        <v>Anthropic</v>
      </c>
      <c r="C176" s="5" t="s">
        <v>243</v>
      </c>
      <c r="D176" s="5" t="s">
        <v>248</v>
      </c>
      <c r="E176" s="4" t="s">
        <v>220</v>
      </c>
      <c r="F176" s="4" t="s">
        <v>28</v>
      </c>
      <c r="G176" s="4" t="s">
        <v>17</v>
      </c>
      <c r="H176" s="4" t="s">
        <v>18</v>
      </c>
      <c r="I176" s="4" t="s">
        <v>19</v>
      </c>
      <c r="J176" s="4" t="s">
        <v>20</v>
      </c>
      <c r="K176" s="4" t="s">
        <v>18</v>
      </c>
    </row>
    <row r="177">
      <c r="A177" s="6" t="str">
        <f>IFERROR(__xludf.DUMMYFUNCTION("FLATTEN(ARRAYFORMULA(INDEX(A172:A176,INT((SEQUENCE(COUNTA(A172:A176)*3,1,0)/3)+1))))"),"Grok")</f>
        <v>Grok</v>
      </c>
      <c r="B177" s="6" t="str">
        <f>IFERROR(__xludf.DUMMYFUNCTION("FLATTEN(ARRAYFORMULA(INDEX(B172:B176,INT((SEQUENCE(COUNTA(B172:B176)*5,1,0)/5)+1))))"),"Xai")</f>
        <v>Xai</v>
      </c>
      <c r="C177" s="5" t="s">
        <v>249</v>
      </c>
      <c r="D177" s="5" t="s">
        <v>250</v>
      </c>
      <c r="E177" s="4" t="s">
        <v>220</v>
      </c>
      <c r="F177" s="4" t="s">
        <v>16</v>
      </c>
      <c r="G177" s="4" t="s">
        <v>33</v>
      </c>
      <c r="H177" s="4" t="s">
        <v>18</v>
      </c>
      <c r="I177" s="4" t="s">
        <v>19</v>
      </c>
      <c r="J177" s="4" t="s">
        <v>20</v>
      </c>
      <c r="K177" s="4" t="s">
        <v>24</v>
      </c>
    </row>
    <row r="178">
      <c r="A178" s="6" t="str">
        <f>IFERROR(__xludf.DUMMYFUNCTION("FLATTEN(ARRAYFORMULA(INDEX(A173:A177,INT((SEQUENCE(COUNTA(A173:A177)*3,1,0)/3)+1))))"),"Gemini")</f>
        <v>Gemini</v>
      </c>
      <c r="B178" s="6" t="str">
        <f>IFERROR(__xludf.DUMMYFUNCTION("FLATTEN(ARRAYFORMULA(INDEX(B173:B177,INT((SEQUENCE(COUNTA(B173:B177)*5,1,0)/5)+1))))"),"Google")</f>
        <v>Google</v>
      </c>
      <c r="C178" s="5" t="s">
        <v>249</v>
      </c>
      <c r="D178" s="5" t="s">
        <v>251</v>
      </c>
      <c r="E178" s="4" t="s">
        <v>220</v>
      </c>
      <c r="F178" s="4" t="s">
        <v>16</v>
      </c>
      <c r="G178" s="4" t="s">
        <v>33</v>
      </c>
      <c r="H178" s="4" t="s">
        <v>18</v>
      </c>
      <c r="I178" s="4" t="s">
        <v>19</v>
      </c>
      <c r="J178" s="4" t="s">
        <v>20</v>
      </c>
      <c r="K178" s="4" t="s">
        <v>24</v>
      </c>
    </row>
    <row r="179">
      <c r="A179" s="6" t="str">
        <f>IFERROR(__xludf.DUMMYFUNCTION("FLATTEN(ARRAYFORMULA(INDEX(A174:A178,INT((SEQUENCE(COUNTA(A174:A178)*3,1,0)/3)+1))))"),"Chat GPT")</f>
        <v>Chat GPT</v>
      </c>
      <c r="B179" s="6" t="str">
        <f>IFERROR(__xludf.DUMMYFUNCTION("FLATTEN(ARRAYFORMULA(INDEX(B174:B178,INT((SEQUENCE(COUNTA(B174:B178)*5,1,0)/5)+1))))"),"Open AI")</f>
        <v>Open AI</v>
      </c>
      <c r="C179" s="5" t="s">
        <v>249</v>
      </c>
      <c r="D179" s="5" t="s">
        <v>252</v>
      </c>
      <c r="E179" s="4" t="s">
        <v>220</v>
      </c>
      <c r="F179" s="4" t="s">
        <v>16</v>
      </c>
      <c r="G179" s="4" t="s">
        <v>29</v>
      </c>
      <c r="H179" s="4" t="s">
        <v>18</v>
      </c>
      <c r="I179" s="4" t="s">
        <v>73</v>
      </c>
      <c r="J179" s="4" t="s">
        <v>20</v>
      </c>
      <c r="K179" s="4" t="s">
        <v>24</v>
      </c>
    </row>
    <row r="180">
      <c r="A180" s="6" t="str">
        <f>IFERROR(__xludf.DUMMYFUNCTION("FLATTEN(ARRAYFORMULA(INDEX(A175:A179,INT((SEQUENCE(COUNTA(A175:A179)*3,1,0)/3)+1))))"),"Perplexity AI")</f>
        <v>Perplexity AI</v>
      </c>
      <c r="B180" s="6" t="str">
        <f>IFERROR(__xludf.DUMMYFUNCTION("FLATTEN(ARRAYFORMULA(INDEX(B175:B179,INT((SEQUENCE(COUNTA(B175:B179)*5,1,0)/5)+1))))"),"Perplexity AI, Inc.")</f>
        <v>Perplexity AI, Inc.</v>
      </c>
      <c r="C180" s="5" t="s">
        <v>249</v>
      </c>
      <c r="D180" s="5" t="s">
        <v>253</v>
      </c>
      <c r="E180" s="4" t="s">
        <v>220</v>
      </c>
      <c r="F180" s="4" t="s">
        <v>16</v>
      </c>
      <c r="G180" s="4" t="s">
        <v>17</v>
      </c>
      <c r="H180" s="4" t="s">
        <v>18</v>
      </c>
      <c r="I180" s="4" t="s">
        <v>19</v>
      </c>
      <c r="J180" s="4" t="s">
        <v>20</v>
      </c>
      <c r="K180" s="4" t="s">
        <v>24</v>
      </c>
    </row>
    <row r="181">
      <c r="A181" s="6" t="str">
        <f>IFERROR(__xludf.DUMMYFUNCTION("FLATTEN(ARRAYFORMULA(INDEX(A176:A180,INT((SEQUENCE(COUNTA(A176:A180)*3,1,0)/3)+1))))"),"Claude")</f>
        <v>Claude</v>
      </c>
      <c r="B181" s="6" t="str">
        <f>IFERROR(__xludf.DUMMYFUNCTION("FLATTEN(ARRAYFORMULA(INDEX(B176:B180,INT((SEQUENCE(COUNTA(B176:B180)*5,1,0)/5)+1))))"),"Anthropic")</f>
        <v>Anthropic</v>
      </c>
      <c r="C181" s="5" t="s">
        <v>249</v>
      </c>
      <c r="D181" s="5" t="s">
        <v>254</v>
      </c>
      <c r="E181" s="4" t="s">
        <v>220</v>
      </c>
      <c r="F181" s="4" t="s">
        <v>28</v>
      </c>
      <c r="G181" s="4" t="s">
        <v>17</v>
      </c>
      <c r="H181" s="4" t="s">
        <v>18</v>
      </c>
      <c r="I181" s="4" t="s">
        <v>19</v>
      </c>
      <c r="J181" s="4" t="s">
        <v>122</v>
      </c>
      <c r="K181" s="4" t="s">
        <v>18</v>
      </c>
    </row>
    <row r="182">
      <c r="A182" s="6" t="str">
        <f>IFERROR(__xludf.DUMMYFUNCTION("FLATTEN(ARRAYFORMULA(INDEX(A177:A181,INT((SEQUENCE(COUNTA(A177:A181)*3,1,0)/3)+1))))"),"Grok")</f>
        <v>Grok</v>
      </c>
      <c r="B182" s="6" t="str">
        <f>IFERROR(__xludf.DUMMYFUNCTION("FLATTEN(ARRAYFORMULA(INDEX(B177:B181,INT((SEQUENCE(COUNTA(B177:B181)*5,1,0)/5)+1))))"),"Xai")</f>
        <v>Xai</v>
      </c>
      <c r="C182" s="5" t="s">
        <v>255</v>
      </c>
      <c r="D182" s="5" t="s">
        <v>256</v>
      </c>
      <c r="E182" s="4" t="s">
        <v>220</v>
      </c>
      <c r="F182" s="4" t="s">
        <v>16</v>
      </c>
      <c r="G182" s="4" t="s">
        <v>33</v>
      </c>
      <c r="H182" s="4" t="s">
        <v>18</v>
      </c>
      <c r="I182" s="4" t="s">
        <v>19</v>
      </c>
      <c r="J182" s="4" t="s">
        <v>34</v>
      </c>
      <c r="K182" s="4" t="s">
        <v>18</v>
      </c>
    </row>
    <row r="183">
      <c r="A183" s="6" t="str">
        <f>IFERROR(__xludf.DUMMYFUNCTION("FLATTEN(ARRAYFORMULA(INDEX(A178:A182,INT((SEQUENCE(COUNTA(A178:A182)*3,1,0)/3)+1))))"),"Gemini")</f>
        <v>Gemini</v>
      </c>
      <c r="B183" s="6" t="str">
        <f>IFERROR(__xludf.DUMMYFUNCTION("FLATTEN(ARRAYFORMULA(INDEX(B178:B182,INT((SEQUENCE(COUNTA(B178:B182)*5,1,0)/5)+1))))"),"Google")</f>
        <v>Google</v>
      </c>
      <c r="C183" s="5" t="s">
        <v>255</v>
      </c>
      <c r="D183" s="5" t="s">
        <v>257</v>
      </c>
      <c r="E183" s="4" t="s">
        <v>220</v>
      </c>
      <c r="F183" s="4" t="s">
        <v>16</v>
      </c>
      <c r="G183" s="4" t="s">
        <v>17</v>
      </c>
      <c r="H183" s="4" t="s">
        <v>18</v>
      </c>
      <c r="I183" s="4" t="s">
        <v>19</v>
      </c>
      <c r="J183" s="4" t="s">
        <v>34</v>
      </c>
      <c r="K183" s="4" t="s">
        <v>24</v>
      </c>
    </row>
    <row r="184">
      <c r="A184" s="6" t="str">
        <f>IFERROR(__xludf.DUMMYFUNCTION("FLATTEN(ARRAYFORMULA(INDEX(A179:A183,INT((SEQUENCE(COUNTA(A179:A183)*3,1,0)/3)+1))))"),"Chat GPT")</f>
        <v>Chat GPT</v>
      </c>
      <c r="B184" s="6" t="str">
        <f>IFERROR(__xludf.DUMMYFUNCTION("FLATTEN(ARRAYFORMULA(INDEX(B179:B183,INT((SEQUENCE(COUNTA(B179:B183)*5,1,0)/5)+1))))"),"Open AI")</f>
        <v>Open AI</v>
      </c>
      <c r="C184" s="5" t="s">
        <v>255</v>
      </c>
      <c r="D184" s="5" t="s">
        <v>258</v>
      </c>
      <c r="E184" s="4" t="s">
        <v>220</v>
      </c>
      <c r="F184" s="4" t="s">
        <v>16</v>
      </c>
      <c r="G184" s="4" t="s">
        <v>29</v>
      </c>
      <c r="H184" s="4" t="s">
        <v>18</v>
      </c>
      <c r="I184" s="4" t="s">
        <v>73</v>
      </c>
      <c r="J184" s="4" t="s">
        <v>34</v>
      </c>
      <c r="K184" s="4" t="s">
        <v>18</v>
      </c>
    </row>
    <row r="185">
      <c r="A185" s="6" t="str">
        <f>IFERROR(__xludf.DUMMYFUNCTION("FLATTEN(ARRAYFORMULA(INDEX(A180:A184,INT((SEQUENCE(COUNTA(A180:A184)*3,1,0)/3)+1))))"),"Perplexity AI")</f>
        <v>Perplexity AI</v>
      </c>
      <c r="B185" s="6" t="str">
        <f>IFERROR(__xludf.DUMMYFUNCTION("FLATTEN(ARRAYFORMULA(INDEX(B180:B184,INT((SEQUENCE(COUNTA(B180:B184)*5,1,0)/5)+1))))"),"Perplexity AI, Inc.")</f>
        <v>Perplexity AI, Inc.</v>
      </c>
      <c r="C185" s="5" t="s">
        <v>255</v>
      </c>
      <c r="D185" s="5" t="s">
        <v>259</v>
      </c>
      <c r="E185" s="4" t="s">
        <v>220</v>
      </c>
      <c r="F185" s="4" t="s">
        <v>16</v>
      </c>
      <c r="G185" s="4" t="s">
        <v>17</v>
      </c>
      <c r="H185" s="4" t="s">
        <v>18</v>
      </c>
      <c r="I185" s="4" t="s">
        <v>19</v>
      </c>
      <c r="J185" s="4" t="s">
        <v>34</v>
      </c>
      <c r="K185" s="4" t="s">
        <v>24</v>
      </c>
    </row>
    <row r="186">
      <c r="A186" s="6" t="str">
        <f>IFERROR(__xludf.DUMMYFUNCTION("FLATTEN(ARRAYFORMULA(INDEX(A181:A185,INT((SEQUENCE(COUNTA(A181:A185)*3,1,0)/3)+1))))"),"Claude")</f>
        <v>Claude</v>
      </c>
      <c r="B186" s="6" t="str">
        <f>IFERROR(__xludf.DUMMYFUNCTION("FLATTEN(ARRAYFORMULA(INDEX(B181:B185,INT((SEQUENCE(COUNTA(B181:B185)*5,1,0)/5)+1))))"),"Anthropic")</f>
        <v>Anthropic</v>
      </c>
      <c r="C186" s="5" t="s">
        <v>255</v>
      </c>
      <c r="D186" s="5" t="s">
        <v>260</v>
      </c>
      <c r="E186" s="4" t="s">
        <v>220</v>
      </c>
      <c r="F186" s="4" t="s">
        <v>28</v>
      </c>
      <c r="G186" s="4" t="s">
        <v>17</v>
      </c>
      <c r="H186" s="4" t="s">
        <v>18</v>
      </c>
      <c r="I186" s="4" t="s">
        <v>19</v>
      </c>
      <c r="J186" s="4" t="s">
        <v>20</v>
      </c>
      <c r="K186" s="4" t="s">
        <v>18</v>
      </c>
    </row>
    <row r="187">
      <c r="A187" s="6" t="str">
        <f>IFERROR(__xludf.DUMMYFUNCTION("FLATTEN(ARRAYFORMULA(INDEX(A182:A186,INT((SEQUENCE(COUNTA(A182:A186)*3,1,0)/3)+1))))"),"Grok")</f>
        <v>Grok</v>
      </c>
      <c r="B187" s="6" t="str">
        <f>IFERROR(__xludf.DUMMYFUNCTION("FLATTEN(ARRAYFORMULA(INDEX(B182:B186,INT((SEQUENCE(COUNTA(B182:B186)*5,1,0)/5)+1))))"),"Xai")</f>
        <v>Xai</v>
      </c>
      <c r="C187" s="5" t="s">
        <v>261</v>
      </c>
      <c r="D187" s="5" t="s">
        <v>262</v>
      </c>
      <c r="E187" s="4" t="s">
        <v>220</v>
      </c>
      <c r="F187" s="4" t="s">
        <v>16</v>
      </c>
      <c r="G187" s="4" t="s">
        <v>33</v>
      </c>
      <c r="H187" s="4" t="s">
        <v>18</v>
      </c>
      <c r="I187" s="4" t="s">
        <v>19</v>
      </c>
      <c r="J187" s="4" t="s">
        <v>34</v>
      </c>
      <c r="K187" s="4" t="s">
        <v>18</v>
      </c>
    </row>
    <row r="188">
      <c r="A188" s="6" t="str">
        <f>IFERROR(__xludf.DUMMYFUNCTION("FLATTEN(ARRAYFORMULA(INDEX(A183:A187,INT((SEQUENCE(COUNTA(A183:A187)*3,1,0)/3)+1))))"),"Gemini")</f>
        <v>Gemini</v>
      </c>
      <c r="B188" s="6" t="str">
        <f>IFERROR(__xludf.DUMMYFUNCTION("FLATTEN(ARRAYFORMULA(INDEX(B183:B187,INT((SEQUENCE(COUNTA(B183:B187)*5,1,0)/5)+1))))"),"Google")</f>
        <v>Google</v>
      </c>
      <c r="C188" s="5" t="s">
        <v>261</v>
      </c>
      <c r="D188" s="5" t="s">
        <v>263</v>
      </c>
      <c r="E188" s="4" t="s">
        <v>220</v>
      </c>
      <c r="F188" s="4" t="s">
        <v>28</v>
      </c>
      <c r="G188" s="4" t="s">
        <v>17</v>
      </c>
      <c r="H188" s="4" t="s">
        <v>18</v>
      </c>
      <c r="I188" s="4" t="s">
        <v>19</v>
      </c>
      <c r="J188" s="4" t="s">
        <v>34</v>
      </c>
      <c r="K188" s="4" t="s">
        <v>24</v>
      </c>
    </row>
    <row r="189">
      <c r="A189" s="6" t="str">
        <f>IFERROR(__xludf.DUMMYFUNCTION("FLATTEN(ARRAYFORMULA(INDEX(A184:A188,INT((SEQUENCE(COUNTA(A184:A188)*3,1,0)/3)+1))))"),"Chat GPT")</f>
        <v>Chat GPT</v>
      </c>
      <c r="B189" s="6" t="str">
        <f>IFERROR(__xludf.DUMMYFUNCTION("FLATTEN(ARRAYFORMULA(INDEX(B184:B188,INT((SEQUENCE(COUNTA(B184:B188)*5,1,0)/5)+1))))"),"Open AI")</f>
        <v>Open AI</v>
      </c>
      <c r="C189" s="5" t="s">
        <v>261</v>
      </c>
      <c r="D189" s="5" t="s">
        <v>264</v>
      </c>
      <c r="E189" s="4" t="s">
        <v>220</v>
      </c>
      <c r="F189" s="4" t="s">
        <v>28</v>
      </c>
      <c r="G189" s="4" t="s">
        <v>29</v>
      </c>
      <c r="H189" s="4" t="s">
        <v>18</v>
      </c>
      <c r="I189" s="4" t="s">
        <v>19</v>
      </c>
      <c r="J189" s="4" t="s">
        <v>20</v>
      </c>
      <c r="K189" s="4" t="s">
        <v>18</v>
      </c>
    </row>
    <row r="190">
      <c r="A190" s="6" t="str">
        <f>IFERROR(__xludf.DUMMYFUNCTION("FLATTEN(ARRAYFORMULA(INDEX(A185:A189,INT((SEQUENCE(COUNTA(A185:A189)*3,1,0)/3)+1))))"),"Perplexity AI")</f>
        <v>Perplexity AI</v>
      </c>
      <c r="B190" s="6" t="str">
        <f>IFERROR(__xludf.DUMMYFUNCTION("FLATTEN(ARRAYFORMULA(INDEX(B185:B189,INT((SEQUENCE(COUNTA(B185:B189)*5,1,0)/5)+1))))"),"Perplexity AI, Inc.")</f>
        <v>Perplexity AI, Inc.</v>
      </c>
      <c r="C190" s="5" t="s">
        <v>261</v>
      </c>
      <c r="D190" s="5" t="s">
        <v>265</v>
      </c>
      <c r="E190" s="4" t="s">
        <v>220</v>
      </c>
      <c r="F190" s="4" t="s">
        <v>28</v>
      </c>
      <c r="G190" s="4" t="s">
        <v>17</v>
      </c>
      <c r="H190" s="4" t="s">
        <v>24</v>
      </c>
      <c r="I190" s="4" t="s">
        <v>19</v>
      </c>
      <c r="J190" s="4" t="s">
        <v>122</v>
      </c>
      <c r="K190" s="4" t="s">
        <v>24</v>
      </c>
    </row>
    <row r="191">
      <c r="A191" s="6" t="str">
        <f>IFERROR(__xludf.DUMMYFUNCTION("FLATTEN(ARRAYFORMULA(INDEX(A186:A190,INT((SEQUENCE(COUNTA(A186:A190)*3,1,0)/3)+1))))"),"Claude")</f>
        <v>Claude</v>
      </c>
      <c r="B191" s="6" t="str">
        <f>IFERROR(__xludf.DUMMYFUNCTION("FLATTEN(ARRAYFORMULA(INDEX(B186:B190,INT((SEQUENCE(COUNTA(B186:B190)*5,1,0)/5)+1))))"),"Anthropic")</f>
        <v>Anthropic</v>
      </c>
      <c r="C191" s="5" t="s">
        <v>261</v>
      </c>
      <c r="D191" s="5" t="s">
        <v>266</v>
      </c>
      <c r="E191" s="4" t="s">
        <v>220</v>
      </c>
      <c r="F191" s="4" t="s">
        <v>28</v>
      </c>
      <c r="G191" s="4" t="s">
        <v>17</v>
      </c>
      <c r="H191" s="4" t="s">
        <v>18</v>
      </c>
      <c r="I191" s="4" t="s">
        <v>19</v>
      </c>
      <c r="J191" s="4" t="s">
        <v>20</v>
      </c>
      <c r="K191" s="4" t="s">
        <v>18</v>
      </c>
    </row>
    <row r="192">
      <c r="A192" s="6" t="str">
        <f>IFERROR(__xludf.DUMMYFUNCTION("FLATTEN(ARRAYFORMULA(INDEX(A187:A191,INT((SEQUENCE(COUNTA(A187:A191)*3,1,0)/3)+1))))"),"Grok")</f>
        <v>Grok</v>
      </c>
      <c r="B192" s="6" t="str">
        <f>IFERROR(__xludf.DUMMYFUNCTION("FLATTEN(ARRAYFORMULA(INDEX(B187:B191,INT((SEQUENCE(COUNTA(B187:B191)*5,1,0)/5)+1))))"),"Xai")</f>
        <v>Xai</v>
      </c>
      <c r="C192" s="5" t="s">
        <v>267</v>
      </c>
      <c r="D192" s="5" t="s">
        <v>268</v>
      </c>
      <c r="E192" s="4" t="s">
        <v>220</v>
      </c>
      <c r="F192" s="4" t="s">
        <v>28</v>
      </c>
      <c r="G192" s="4" t="s">
        <v>17</v>
      </c>
      <c r="H192" s="4" t="s">
        <v>18</v>
      </c>
      <c r="I192" s="4" t="s">
        <v>19</v>
      </c>
      <c r="J192" s="4" t="s">
        <v>34</v>
      </c>
      <c r="K192" s="4" t="s">
        <v>18</v>
      </c>
    </row>
    <row r="193">
      <c r="A193" s="6" t="str">
        <f>IFERROR(__xludf.DUMMYFUNCTION("FLATTEN(ARRAYFORMULA(INDEX(A188:A192,INT((SEQUENCE(COUNTA(A188:A192)*3,1,0)/3)+1))))"),"Gemini")</f>
        <v>Gemini</v>
      </c>
      <c r="B193" s="6" t="str">
        <f>IFERROR(__xludf.DUMMYFUNCTION("FLATTEN(ARRAYFORMULA(INDEX(B188:B192,INT((SEQUENCE(COUNTA(B188:B192)*5,1,0)/5)+1))))"),"Google")</f>
        <v>Google</v>
      </c>
      <c r="C193" s="5" t="s">
        <v>267</v>
      </c>
      <c r="D193" s="5" t="s">
        <v>269</v>
      </c>
      <c r="E193" s="4" t="s">
        <v>220</v>
      </c>
      <c r="F193" s="4" t="s">
        <v>28</v>
      </c>
      <c r="G193" s="4" t="s">
        <v>17</v>
      </c>
      <c r="H193" s="4" t="s">
        <v>18</v>
      </c>
      <c r="I193" s="4" t="s">
        <v>19</v>
      </c>
      <c r="J193" s="4" t="s">
        <v>20</v>
      </c>
      <c r="K193" s="4" t="s">
        <v>24</v>
      </c>
    </row>
    <row r="194">
      <c r="A194" s="6" t="str">
        <f>IFERROR(__xludf.DUMMYFUNCTION("FLATTEN(ARRAYFORMULA(INDEX(A189:A193,INT((SEQUENCE(COUNTA(A189:A193)*3,1,0)/3)+1))))"),"Chat GPT")</f>
        <v>Chat GPT</v>
      </c>
      <c r="B194" s="6" t="str">
        <f>IFERROR(__xludf.DUMMYFUNCTION("FLATTEN(ARRAYFORMULA(INDEX(B189:B193,INT((SEQUENCE(COUNTA(B189:B193)*5,1,0)/5)+1))))"),"Open AI")</f>
        <v>Open AI</v>
      </c>
      <c r="C194" s="5" t="s">
        <v>267</v>
      </c>
      <c r="D194" s="5" t="s">
        <v>270</v>
      </c>
      <c r="E194" s="4" t="s">
        <v>220</v>
      </c>
      <c r="F194" s="4" t="s">
        <v>28</v>
      </c>
      <c r="G194" s="4" t="s">
        <v>29</v>
      </c>
      <c r="H194" s="4" t="s">
        <v>24</v>
      </c>
      <c r="I194" s="4" t="s">
        <v>73</v>
      </c>
      <c r="J194" s="4" t="s">
        <v>20</v>
      </c>
      <c r="K194" s="4" t="s">
        <v>18</v>
      </c>
    </row>
    <row r="195">
      <c r="A195" s="6" t="str">
        <f>IFERROR(__xludf.DUMMYFUNCTION("FLATTEN(ARRAYFORMULA(INDEX(A190:A194,INT((SEQUENCE(COUNTA(A190:A194)*3,1,0)/3)+1))))"),"Perplexity AI")</f>
        <v>Perplexity AI</v>
      </c>
      <c r="B195" s="6" t="str">
        <f>IFERROR(__xludf.DUMMYFUNCTION("FLATTEN(ARRAYFORMULA(INDEX(B190:B194,INT((SEQUENCE(COUNTA(B190:B194)*5,1,0)/5)+1))))"),"Perplexity AI, Inc.")</f>
        <v>Perplexity AI, Inc.</v>
      </c>
      <c r="C195" s="5" t="s">
        <v>267</v>
      </c>
      <c r="D195" s="5" t="s">
        <v>271</v>
      </c>
      <c r="E195" s="4" t="s">
        <v>220</v>
      </c>
      <c r="F195" s="4" t="s">
        <v>28</v>
      </c>
      <c r="G195" s="4" t="s">
        <v>17</v>
      </c>
      <c r="H195" s="4" t="s">
        <v>18</v>
      </c>
      <c r="I195" s="4" t="s">
        <v>19</v>
      </c>
      <c r="J195" s="4" t="s">
        <v>20</v>
      </c>
      <c r="K195" s="4" t="s">
        <v>24</v>
      </c>
    </row>
    <row r="196">
      <c r="A196" s="6" t="str">
        <f>IFERROR(__xludf.DUMMYFUNCTION("FLATTEN(ARRAYFORMULA(INDEX(A191:A195,INT((SEQUENCE(COUNTA(A191:A195)*3,1,0)/3)+1))))"),"Claude")</f>
        <v>Claude</v>
      </c>
      <c r="B196" s="6" t="str">
        <f>IFERROR(__xludf.DUMMYFUNCTION("FLATTEN(ARRAYFORMULA(INDEX(B191:B195,INT((SEQUENCE(COUNTA(B191:B195)*5,1,0)/5)+1))))"),"Anthropic")</f>
        <v>Anthropic</v>
      </c>
      <c r="C196" s="5" t="s">
        <v>267</v>
      </c>
      <c r="D196" s="5" t="s">
        <v>272</v>
      </c>
      <c r="E196" s="4" t="s">
        <v>220</v>
      </c>
      <c r="F196" s="4" t="s">
        <v>28</v>
      </c>
      <c r="G196" s="4" t="s">
        <v>17</v>
      </c>
      <c r="H196" s="4" t="s">
        <v>18</v>
      </c>
      <c r="I196" s="4" t="s">
        <v>19</v>
      </c>
      <c r="J196" s="4" t="s">
        <v>20</v>
      </c>
      <c r="K196" s="4" t="s">
        <v>18</v>
      </c>
    </row>
    <row r="197">
      <c r="A197" s="6" t="str">
        <f>IFERROR(__xludf.DUMMYFUNCTION("FLATTEN(ARRAYFORMULA(INDEX(A192:A196,INT((SEQUENCE(COUNTA(A192:A196)*3,1,0)/3)+1))))"),"Grok")</f>
        <v>Grok</v>
      </c>
      <c r="B197" s="6" t="str">
        <f>IFERROR(__xludf.DUMMYFUNCTION("FLATTEN(ARRAYFORMULA(INDEX(B192:B196,INT((SEQUENCE(COUNTA(B192:B196)*5,1,0)/5)+1))))"),"Xai")</f>
        <v>Xai</v>
      </c>
      <c r="C197" s="5" t="s">
        <v>273</v>
      </c>
      <c r="D197" s="5" t="s">
        <v>274</v>
      </c>
      <c r="E197" s="4" t="s">
        <v>220</v>
      </c>
      <c r="F197" s="4" t="s">
        <v>16</v>
      </c>
      <c r="G197" s="4" t="s">
        <v>33</v>
      </c>
      <c r="H197" s="4" t="s">
        <v>18</v>
      </c>
      <c r="I197" s="4" t="s">
        <v>19</v>
      </c>
      <c r="J197" s="4" t="s">
        <v>34</v>
      </c>
      <c r="K197" s="4" t="s">
        <v>18</v>
      </c>
    </row>
    <row r="198">
      <c r="A198" s="6" t="str">
        <f>IFERROR(__xludf.DUMMYFUNCTION("FLATTEN(ARRAYFORMULA(INDEX(A193:A197,INT((SEQUENCE(COUNTA(A193:A197)*3,1,0)/3)+1))))"),"Gemini")</f>
        <v>Gemini</v>
      </c>
      <c r="B198" s="6" t="str">
        <f>IFERROR(__xludf.DUMMYFUNCTION("FLATTEN(ARRAYFORMULA(INDEX(B193:B197,INT((SEQUENCE(COUNTA(B193:B197)*5,1,0)/5)+1))))"),"Google")</f>
        <v>Google</v>
      </c>
      <c r="C198" s="5" t="s">
        <v>273</v>
      </c>
      <c r="D198" s="5" t="s">
        <v>275</v>
      </c>
      <c r="E198" s="4" t="s">
        <v>220</v>
      </c>
      <c r="F198" s="4" t="s">
        <v>16</v>
      </c>
      <c r="G198" s="4" t="s">
        <v>17</v>
      </c>
      <c r="H198" s="4" t="s">
        <v>18</v>
      </c>
      <c r="I198" s="4" t="s">
        <v>19</v>
      </c>
      <c r="J198" s="4" t="s">
        <v>34</v>
      </c>
      <c r="K198" s="4" t="s">
        <v>24</v>
      </c>
    </row>
    <row r="199">
      <c r="A199" s="6" t="str">
        <f>IFERROR(__xludf.DUMMYFUNCTION("FLATTEN(ARRAYFORMULA(INDEX(A194:A198,INT((SEQUENCE(COUNTA(A194:A198)*3,1,0)/3)+1))))"),"Chat GPT")</f>
        <v>Chat GPT</v>
      </c>
      <c r="B199" s="6" t="str">
        <f>IFERROR(__xludf.DUMMYFUNCTION("FLATTEN(ARRAYFORMULA(INDEX(B194:B198,INT((SEQUENCE(COUNTA(B194:B198)*5,1,0)/5)+1))))"),"Open AI")</f>
        <v>Open AI</v>
      </c>
      <c r="C199" s="5" t="s">
        <v>273</v>
      </c>
      <c r="D199" s="5" t="s">
        <v>276</v>
      </c>
      <c r="E199" s="4" t="s">
        <v>220</v>
      </c>
      <c r="F199" s="4" t="s">
        <v>16</v>
      </c>
      <c r="G199" s="4" t="s">
        <v>17</v>
      </c>
      <c r="H199" s="4" t="s">
        <v>18</v>
      </c>
      <c r="I199" s="4" t="s">
        <v>73</v>
      </c>
      <c r="J199" s="4" t="s">
        <v>34</v>
      </c>
      <c r="K199" s="4" t="s">
        <v>18</v>
      </c>
    </row>
    <row r="200">
      <c r="A200" s="6" t="str">
        <f>IFERROR(__xludf.DUMMYFUNCTION("FLATTEN(ARRAYFORMULA(INDEX(A195:A199,INT((SEQUENCE(COUNTA(A195:A199)*3,1,0)/3)+1))))"),"Perplexity AI")</f>
        <v>Perplexity AI</v>
      </c>
      <c r="B200" s="6" t="str">
        <f>IFERROR(__xludf.DUMMYFUNCTION("FLATTEN(ARRAYFORMULA(INDEX(B195:B199,INT((SEQUENCE(COUNTA(B195:B199)*5,1,0)/5)+1))))"),"Perplexity AI, Inc.")</f>
        <v>Perplexity AI, Inc.</v>
      </c>
      <c r="C200" s="5" t="s">
        <v>273</v>
      </c>
      <c r="D200" s="5" t="s">
        <v>277</v>
      </c>
      <c r="E200" s="4" t="s">
        <v>220</v>
      </c>
      <c r="F200" s="4" t="s">
        <v>16</v>
      </c>
      <c r="G200" s="4" t="s">
        <v>17</v>
      </c>
      <c r="H200" s="4" t="s">
        <v>24</v>
      </c>
      <c r="I200" s="4" t="s">
        <v>19</v>
      </c>
      <c r="J200" s="4" t="s">
        <v>34</v>
      </c>
      <c r="K200" s="4" t="s">
        <v>24</v>
      </c>
    </row>
    <row r="201">
      <c r="A201" s="6" t="str">
        <f>IFERROR(__xludf.DUMMYFUNCTION("FLATTEN(ARRAYFORMULA(INDEX(A196:A200,INT((SEQUENCE(COUNTA(A196:A200)*3,1,0)/3)+1))))"),"Claude")</f>
        <v>Claude</v>
      </c>
      <c r="B201" s="6" t="str">
        <f>IFERROR(__xludf.DUMMYFUNCTION("FLATTEN(ARRAYFORMULA(INDEX(B196:B200,INT((SEQUENCE(COUNTA(B196:B200)*5,1,0)/5)+1))))"),"Anthropic")</f>
        <v>Anthropic</v>
      </c>
      <c r="C201" s="5" t="s">
        <v>273</v>
      </c>
      <c r="D201" s="5" t="s">
        <v>278</v>
      </c>
      <c r="E201" s="4" t="s">
        <v>220</v>
      </c>
      <c r="F201" s="4" t="s">
        <v>16</v>
      </c>
      <c r="G201" s="4" t="s">
        <v>17</v>
      </c>
      <c r="H201" s="4" t="s">
        <v>18</v>
      </c>
      <c r="I201" s="4" t="s">
        <v>19</v>
      </c>
      <c r="J201" s="4" t="s">
        <v>34</v>
      </c>
      <c r="K201" s="4" t="s">
        <v>18</v>
      </c>
    </row>
    <row r="202">
      <c r="A202" s="6" t="str">
        <f>IFERROR(__xludf.DUMMYFUNCTION("FLATTEN(ARRAYFORMULA(INDEX(A197:A201,INT((SEQUENCE(COUNTA(A197:A201)*3,1,0)/3)+1))))"),"Grok")</f>
        <v>Grok</v>
      </c>
      <c r="B202" s="6" t="str">
        <f>IFERROR(__xludf.DUMMYFUNCTION("FLATTEN(ARRAYFORMULA(INDEX(B197:B201,INT((SEQUENCE(COUNTA(B197:B201)*5,1,0)/5)+1))))"),"Xai")</f>
        <v>Xai</v>
      </c>
      <c r="C202" s="5" t="s">
        <v>279</v>
      </c>
      <c r="D202" s="5" t="s">
        <v>280</v>
      </c>
      <c r="E202" s="4" t="s">
        <v>281</v>
      </c>
      <c r="F202" s="4" t="s">
        <v>46</v>
      </c>
      <c r="G202" s="4" t="s">
        <v>29</v>
      </c>
      <c r="H202" s="4" t="s">
        <v>18</v>
      </c>
      <c r="I202" s="4" t="s">
        <v>19</v>
      </c>
      <c r="J202" s="4" t="s">
        <v>20</v>
      </c>
      <c r="K202" s="4" t="s">
        <v>18</v>
      </c>
    </row>
    <row r="203">
      <c r="A203" s="6" t="str">
        <f>IFERROR(__xludf.DUMMYFUNCTION("FLATTEN(ARRAYFORMULA(INDEX(A198:A202,INT((SEQUENCE(COUNTA(A198:A202)*3,1,0)/3)+1))))"),"Gemini")</f>
        <v>Gemini</v>
      </c>
      <c r="B203" s="6" t="str">
        <f>IFERROR(__xludf.DUMMYFUNCTION("FLATTEN(ARRAYFORMULA(INDEX(B198:B202,INT((SEQUENCE(COUNTA(B198:B202)*5,1,0)/5)+1))))"),"Google")</f>
        <v>Google</v>
      </c>
      <c r="C203" s="5" t="s">
        <v>279</v>
      </c>
      <c r="D203" s="5" t="s">
        <v>282</v>
      </c>
      <c r="E203" s="4" t="s">
        <v>281</v>
      </c>
      <c r="F203" s="4" t="s">
        <v>28</v>
      </c>
      <c r="G203" s="4" t="s">
        <v>29</v>
      </c>
      <c r="H203" s="4" t="s">
        <v>18</v>
      </c>
      <c r="I203" s="4" t="s">
        <v>19</v>
      </c>
      <c r="J203" s="4" t="s">
        <v>20</v>
      </c>
      <c r="K203" s="4" t="s">
        <v>18</v>
      </c>
    </row>
    <row r="204">
      <c r="A204" s="6" t="str">
        <f>IFERROR(__xludf.DUMMYFUNCTION("FLATTEN(ARRAYFORMULA(INDEX(A199:A203,INT((SEQUENCE(COUNTA(A199:A203)*3,1,0)/3)+1))))"),"Chat GPT")</f>
        <v>Chat GPT</v>
      </c>
      <c r="B204" s="6" t="str">
        <f>IFERROR(__xludf.DUMMYFUNCTION("FLATTEN(ARRAYFORMULA(INDEX(B199:B203,INT((SEQUENCE(COUNTA(B199:B203)*5,1,0)/5)+1))))"),"Open AI")</f>
        <v>Open AI</v>
      </c>
      <c r="C204" s="5" t="s">
        <v>279</v>
      </c>
      <c r="D204" s="5" t="s">
        <v>283</v>
      </c>
      <c r="E204" s="4" t="s">
        <v>281</v>
      </c>
      <c r="F204" s="4" t="s">
        <v>46</v>
      </c>
      <c r="G204" s="4" t="s">
        <v>29</v>
      </c>
      <c r="H204" s="4" t="s">
        <v>18</v>
      </c>
      <c r="I204" s="4" t="s">
        <v>73</v>
      </c>
      <c r="J204" s="4" t="s">
        <v>20</v>
      </c>
      <c r="K204" s="4" t="s">
        <v>18</v>
      </c>
    </row>
    <row r="205">
      <c r="A205" s="6" t="str">
        <f>IFERROR(__xludf.DUMMYFUNCTION("FLATTEN(ARRAYFORMULA(INDEX(A200:A204,INT((SEQUENCE(COUNTA(A200:A204)*3,1,0)/3)+1))))"),"Perplexity AI")</f>
        <v>Perplexity AI</v>
      </c>
      <c r="B205" s="6" t="str">
        <f>IFERROR(__xludf.DUMMYFUNCTION("FLATTEN(ARRAYFORMULA(INDEX(B200:B204,INT((SEQUENCE(COUNTA(B200:B204)*5,1,0)/5)+1))))"),"Perplexity AI, Inc.")</f>
        <v>Perplexity AI, Inc.</v>
      </c>
      <c r="C205" s="5" t="s">
        <v>279</v>
      </c>
      <c r="D205" s="5" t="s">
        <v>284</v>
      </c>
      <c r="E205" s="4" t="s">
        <v>281</v>
      </c>
      <c r="F205" s="4" t="s">
        <v>46</v>
      </c>
      <c r="G205" s="4" t="s">
        <v>29</v>
      </c>
      <c r="H205" s="4" t="s">
        <v>18</v>
      </c>
      <c r="I205" s="4" t="s">
        <v>19</v>
      </c>
      <c r="J205" s="4" t="s">
        <v>20</v>
      </c>
      <c r="K205" s="4" t="s">
        <v>18</v>
      </c>
    </row>
    <row r="206">
      <c r="A206" s="6" t="str">
        <f>IFERROR(__xludf.DUMMYFUNCTION("FLATTEN(ARRAYFORMULA(INDEX(A201:A205,INT((SEQUENCE(COUNTA(A201:A205)*3,1,0)/3)+1))))"),"Claude")</f>
        <v>Claude</v>
      </c>
      <c r="B206" s="6" t="str">
        <f>IFERROR(__xludf.DUMMYFUNCTION("FLATTEN(ARRAYFORMULA(INDEX(B201:B205,INT((SEQUENCE(COUNTA(B201:B205)*5,1,0)/5)+1))))"),"Anthropic")</f>
        <v>Anthropic</v>
      </c>
      <c r="C206" s="5" t="s">
        <v>279</v>
      </c>
      <c r="D206" s="5" t="s">
        <v>285</v>
      </c>
      <c r="E206" s="4" t="s">
        <v>281</v>
      </c>
      <c r="F206" s="4" t="s">
        <v>46</v>
      </c>
      <c r="G206" s="4" t="s">
        <v>29</v>
      </c>
      <c r="H206" s="4" t="s">
        <v>18</v>
      </c>
      <c r="I206" s="4" t="s">
        <v>19</v>
      </c>
      <c r="J206" s="4" t="s">
        <v>20</v>
      </c>
      <c r="K206" s="4" t="s">
        <v>18</v>
      </c>
    </row>
    <row r="207">
      <c r="A207" s="6" t="str">
        <f>IFERROR(__xludf.DUMMYFUNCTION("FLATTEN(ARRAYFORMULA(INDEX(A202:A206,INT((SEQUENCE(COUNTA(A202:A206)*3,1,0)/3)+1))))"),"Grok")</f>
        <v>Grok</v>
      </c>
      <c r="B207" s="6" t="str">
        <f>IFERROR(__xludf.DUMMYFUNCTION("FLATTEN(ARRAYFORMULA(INDEX(B202:B206,INT((SEQUENCE(COUNTA(B202:B206)*5,1,0)/5)+1))))"),"Xai")</f>
        <v>Xai</v>
      </c>
      <c r="C207" s="5" t="s">
        <v>286</v>
      </c>
      <c r="D207" s="5" t="s">
        <v>287</v>
      </c>
      <c r="E207" s="4" t="s">
        <v>281</v>
      </c>
      <c r="F207" s="4" t="s">
        <v>46</v>
      </c>
      <c r="G207" s="4" t="s">
        <v>29</v>
      </c>
      <c r="H207" s="4" t="s">
        <v>18</v>
      </c>
      <c r="I207" s="4" t="s">
        <v>73</v>
      </c>
      <c r="J207" s="4" t="s">
        <v>20</v>
      </c>
      <c r="K207" s="4" t="s">
        <v>18</v>
      </c>
    </row>
    <row r="208">
      <c r="A208" s="6" t="str">
        <f>IFERROR(__xludf.DUMMYFUNCTION("FLATTEN(ARRAYFORMULA(INDEX(A203:A207,INT((SEQUENCE(COUNTA(A203:A207)*3,1,0)/3)+1))))"),"Gemini")</f>
        <v>Gemini</v>
      </c>
      <c r="B208" s="6" t="str">
        <f>IFERROR(__xludf.DUMMYFUNCTION("FLATTEN(ARRAYFORMULA(INDEX(B203:B207,INT((SEQUENCE(COUNTA(B203:B207)*5,1,0)/5)+1))))"),"Google")</f>
        <v>Google</v>
      </c>
      <c r="C208" s="5" t="s">
        <v>286</v>
      </c>
      <c r="D208" s="5" t="s">
        <v>288</v>
      </c>
      <c r="E208" s="4" t="s">
        <v>281</v>
      </c>
      <c r="F208" s="4" t="s">
        <v>28</v>
      </c>
      <c r="G208" s="4" t="s">
        <v>29</v>
      </c>
      <c r="H208" s="4" t="s">
        <v>18</v>
      </c>
      <c r="I208" s="4" t="s">
        <v>73</v>
      </c>
      <c r="J208" s="4" t="s">
        <v>20</v>
      </c>
      <c r="K208" s="4" t="s">
        <v>24</v>
      </c>
    </row>
    <row r="209">
      <c r="A209" s="6" t="str">
        <f>IFERROR(__xludf.DUMMYFUNCTION("FLATTEN(ARRAYFORMULA(INDEX(A204:A208,INT((SEQUENCE(COUNTA(A204:A208)*3,1,0)/3)+1))))"),"Chat GPT")</f>
        <v>Chat GPT</v>
      </c>
      <c r="B209" s="6" t="str">
        <f>IFERROR(__xludf.DUMMYFUNCTION("FLATTEN(ARRAYFORMULA(INDEX(B204:B208,INT((SEQUENCE(COUNTA(B204:B208)*5,1,0)/5)+1))))"),"Open AI")</f>
        <v>Open AI</v>
      </c>
      <c r="C209" s="5" t="s">
        <v>286</v>
      </c>
      <c r="D209" s="5" t="s">
        <v>289</v>
      </c>
      <c r="E209" s="4" t="s">
        <v>281</v>
      </c>
      <c r="F209" s="4" t="s">
        <v>46</v>
      </c>
      <c r="G209" s="4" t="s">
        <v>29</v>
      </c>
      <c r="H209" s="4" t="s">
        <v>18</v>
      </c>
      <c r="I209" s="4" t="s">
        <v>73</v>
      </c>
      <c r="J209" s="4" t="s">
        <v>20</v>
      </c>
      <c r="K209" s="4" t="s">
        <v>18</v>
      </c>
    </row>
    <row r="210">
      <c r="A210" s="6" t="str">
        <f>IFERROR(__xludf.DUMMYFUNCTION("FLATTEN(ARRAYFORMULA(INDEX(A205:A209,INT((SEQUENCE(COUNTA(A205:A209)*3,1,0)/3)+1))))"),"Perplexity AI")</f>
        <v>Perplexity AI</v>
      </c>
      <c r="B210" s="6" t="str">
        <f>IFERROR(__xludf.DUMMYFUNCTION("FLATTEN(ARRAYFORMULA(INDEX(B205:B209,INT((SEQUENCE(COUNTA(B205:B209)*5,1,0)/5)+1))))"),"Perplexity AI, Inc.")</f>
        <v>Perplexity AI, Inc.</v>
      </c>
      <c r="C210" s="5" t="s">
        <v>286</v>
      </c>
      <c r="D210" s="5" t="s">
        <v>290</v>
      </c>
      <c r="E210" s="4" t="s">
        <v>281</v>
      </c>
      <c r="F210" s="4" t="s">
        <v>28</v>
      </c>
      <c r="G210" s="4" t="s">
        <v>29</v>
      </c>
      <c r="H210" s="4" t="s">
        <v>18</v>
      </c>
      <c r="I210" s="4" t="s">
        <v>19</v>
      </c>
      <c r="J210" s="4" t="s">
        <v>20</v>
      </c>
      <c r="K210" s="4" t="s">
        <v>24</v>
      </c>
    </row>
    <row r="211">
      <c r="A211" s="6" t="str">
        <f>IFERROR(__xludf.DUMMYFUNCTION("FLATTEN(ARRAYFORMULA(INDEX(A206:A210,INT((SEQUENCE(COUNTA(A206:A210)*3,1,0)/3)+1))))"),"Claude")</f>
        <v>Claude</v>
      </c>
      <c r="B211" s="6" t="str">
        <f>IFERROR(__xludf.DUMMYFUNCTION("FLATTEN(ARRAYFORMULA(INDEX(B206:B210,INT((SEQUENCE(COUNTA(B206:B210)*5,1,0)/5)+1))))"),"Anthropic")</f>
        <v>Anthropic</v>
      </c>
      <c r="C211" s="5" t="s">
        <v>286</v>
      </c>
      <c r="D211" s="5" t="s">
        <v>291</v>
      </c>
      <c r="E211" s="4" t="s">
        <v>281</v>
      </c>
      <c r="F211" s="4" t="s">
        <v>28</v>
      </c>
      <c r="G211" s="4" t="s">
        <v>29</v>
      </c>
      <c r="H211" s="4" t="s">
        <v>18</v>
      </c>
      <c r="I211" s="4" t="s">
        <v>19</v>
      </c>
      <c r="J211" s="4" t="s">
        <v>20</v>
      </c>
      <c r="K211" s="4" t="s">
        <v>18</v>
      </c>
    </row>
    <row r="212">
      <c r="A212" s="6" t="str">
        <f>IFERROR(__xludf.DUMMYFUNCTION("FLATTEN(ARRAYFORMULA(INDEX(A207:A211,INT((SEQUENCE(COUNTA(A207:A211)*3,1,0)/3)+1))))"),"Grok")</f>
        <v>Grok</v>
      </c>
      <c r="B212" s="6" t="str">
        <f>IFERROR(__xludf.DUMMYFUNCTION("FLATTEN(ARRAYFORMULA(INDEX(B207:B211,INT((SEQUENCE(COUNTA(B207:B211)*5,1,0)/5)+1))))"),"Xai")</f>
        <v>Xai</v>
      </c>
      <c r="C212" s="5" t="s">
        <v>292</v>
      </c>
      <c r="D212" s="5" t="s">
        <v>293</v>
      </c>
      <c r="E212" s="4" t="s">
        <v>281</v>
      </c>
      <c r="F212" s="4" t="s">
        <v>28</v>
      </c>
      <c r="G212" s="4" t="s">
        <v>29</v>
      </c>
      <c r="H212" s="4" t="s">
        <v>18</v>
      </c>
      <c r="I212" s="4" t="s">
        <v>73</v>
      </c>
      <c r="J212" s="4" t="s">
        <v>20</v>
      </c>
      <c r="K212" s="4" t="s">
        <v>18</v>
      </c>
    </row>
    <row r="213">
      <c r="A213" s="6" t="str">
        <f>IFERROR(__xludf.DUMMYFUNCTION("FLATTEN(ARRAYFORMULA(INDEX(A208:A212,INT((SEQUENCE(COUNTA(A208:A212)*3,1,0)/3)+1))))"),"Gemini")</f>
        <v>Gemini</v>
      </c>
      <c r="B213" s="6" t="str">
        <f>IFERROR(__xludf.DUMMYFUNCTION("FLATTEN(ARRAYFORMULA(INDEX(B208:B212,INT((SEQUENCE(COUNTA(B208:B212)*5,1,0)/5)+1))))"),"Google")</f>
        <v>Google</v>
      </c>
      <c r="C213" s="5" t="s">
        <v>292</v>
      </c>
      <c r="D213" s="5" t="s">
        <v>294</v>
      </c>
      <c r="E213" s="4" t="s">
        <v>281</v>
      </c>
      <c r="F213" s="4" t="s">
        <v>46</v>
      </c>
      <c r="G213" s="4" t="s">
        <v>29</v>
      </c>
      <c r="H213" s="4" t="s">
        <v>18</v>
      </c>
      <c r="I213" s="4" t="s">
        <v>19</v>
      </c>
      <c r="J213" s="4" t="s">
        <v>122</v>
      </c>
      <c r="K213" s="4" t="s">
        <v>18</v>
      </c>
    </row>
    <row r="214">
      <c r="A214" s="6" t="str">
        <f>IFERROR(__xludf.DUMMYFUNCTION("FLATTEN(ARRAYFORMULA(INDEX(A209:A213,INT((SEQUENCE(COUNTA(A209:A213)*3,1,0)/3)+1))))"),"Chat GPT")</f>
        <v>Chat GPT</v>
      </c>
      <c r="B214" s="6" t="str">
        <f>IFERROR(__xludf.DUMMYFUNCTION("FLATTEN(ARRAYFORMULA(INDEX(B209:B213,INT((SEQUENCE(COUNTA(B209:B213)*5,1,0)/5)+1))))"),"Open AI")</f>
        <v>Open AI</v>
      </c>
      <c r="C214" s="5" t="s">
        <v>292</v>
      </c>
      <c r="D214" s="5" t="s">
        <v>295</v>
      </c>
      <c r="E214" s="4" t="s">
        <v>281</v>
      </c>
      <c r="F214" s="4" t="s">
        <v>28</v>
      </c>
      <c r="G214" s="4" t="s">
        <v>29</v>
      </c>
      <c r="H214" s="4" t="s">
        <v>18</v>
      </c>
      <c r="I214" s="4" t="s">
        <v>73</v>
      </c>
      <c r="J214" s="4" t="s">
        <v>20</v>
      </c>
      <c r="K214" s="4" t="s">
        <v>18</v>
      </c>
    </row>
    <row r="215">
      <c r="A215" s="6" t="str">
        <f>IFERROR(__xludf.DUMMYFUNCTION("FLATTEN(ARRAYFORMULA(INDEX(A210:A214,INT((SEQUENCE(COUNTA(A210:A214)*3,1,0)/3)+1))))"),"Perplexity AI")</f>
        <v>Perplexity AI</v>
      </c>
      <c r="B215" s="6" t="str">
        <f>IFERROR(__xludf.DUMMYFUNCTION("FLATTEN(ARRAYFORMULA(INDEX(B210:B214,INT((SEQUENCE(COUNTA(B210:B214)*5,1,0)/5)+1))))"),"Perplexity AI, Inc.")</f>
        <v>Perplexity AI, Inc.</v>
      </c>
      <c r="C215" s="5" t="s">
        <v>292</v>
      </c>
      <c r="D215" s="5" t="s">
        <v>296</v>
      </c>
      <c r="E215" s="4" t="s">
        <v>281</v>
      </c>
      <c r="F215" s="4" t="s">
        <v>28</v>
      </c>
      <c r="G215" s="4" t="s">
        <v>29</v>
      </c>
      <c r="H215" s="4" t="s">
        <v>18</v>
      </c>
      <c r="I215" s="4" t="s">
        <v>19</v>
      </c>
      <c r="J215" s="4" t="s">
        <v>20</v>
      </c>
      <c r="K215" s="4" t="s">
        <v>24</v>
      </c>
    </row>
    <row r="216">
      <c r="A216" s="6" t="str">
        <f>IFERROR(__xludf.DUMMYFUNCTION("FLATTEN(ARRAYFORMULA(INDEX(A211:A215,INT((SEQUENCE(COUNTA(A211:A215)*3,1,0)/3)+1))))"),"Claude")</f>
        <v>Claude</v>
      </c>
      <c r="B216" s="6" t="str">
        <f>IFERROR(__xludf.DUMMYFUNCTION("FLATTEN(ARRAYFORMULA(INDEX(B211:B215,INT((SEQUENCE(COUNTA(B211:B215)*5,1,0)/5)+1))))"),"Anthropic")</f>
        <v>Anthropic</v>
      </c>
      <c r="C216" s="5" t="s">
        <v>292</v>
      </c>
      <c r="D216" s="5" t="s">
        <v>297</v>
      </c>
      <c r="E216" s="4" t="s">
        <v>281</v>
      </c>
      <c r="F216" s="4" t="s">
        <v>28</v>
      </c>
      <c r="G216" s="4" t="s">
        <v>29</v>
      </c>
      <c r="H216" s="4" t="s">
        <v>18</v>
      </c>
      <c r="I216" s="4" t="s">
        <v>19</v>
      </c>
      <c r="J216" s="4" t="s">
        <v>20</v>
      </c>
      <c r="K216" s="4" t="s">
        <v>18</v>
      </c>
    </row>
    <row r="217">
      <c r="A217" s="6" t="str">
        <f>IFERROR(__xludf.DUMMYFUNCTION("FLATTEN(ARRAYFORMULA(INDEX(A212:A216,INT((SEQUENCE(COUNTA(A212:A216)*3,1,0)/3)+1))))"),"Grok")</f>
        <v>Grok</v>
      </c>
      <c r="B217" s="6" t="str">
        <f>IFERROR(__xludf.DUMMYFUNCTION("FLATTEN(ARRAYFORMULA(INDEX(B212:B216,INT((SEQUENCE(COUNTA(B212:B216)*5,1,0)/5)+1))))"),"Xai")</f>
        <v>Xai</v>
      </c>
      <c r="C217" s="5" t="s">
        <v>298</v>
      </c>
      <c r="D217" s="5" t="s">
        <v>299</v>
      </c>
      <c r="E217" s="4" t="s">
        <v>281</v>
      </c>
      <c r="F217" s="4" t="s">
        <v>28</v>
      </c>
      <c r="G217" s="4" t="s">
        <v>29</v>
      </c>
      <c r="H217" s="4" t="s">
        <v>18</v>
      </c>
      <c r="I217" s="4" t="s">
        <v>165</v>
      </c>
      <c r="J217" s="4" t="s">
        <v>20</v>
      </c>
      <c r="K217" s="4" t="s">
        <v>18</v>
      </c>
    </row>
    <row r="218">
      <c r="A218" s="6" t="str">
        <f>IFERROR(__xludf.DUMMYFUNCTION("FLATTEN(ARRAYFORMULA(INDEX(A213:A217,INT((SEQUENCE(COUNTA(A213:A217)*3,1,0)/3)+1))))"),"Gemini")</f>
        <v>Gemini</v>
      </c>
      <c r="B218" s="6" t="str">
        <f>IFERROR(__xludf.DUMMYFUNCTION("FLATTEN(ARRAYFORMULA(INDEX(B213:B217,INT((SEQUENCE(COUNTA(B213:B217)*5,1,0)/5)+1))))"),"Google")</f>
        <v>Google</v>
      </c>
      <c r="C218" s="5" t="s">
        <v>298</v>
      </c>
      <c r="D218" s="5" t="s">
        <v>300</v>
      </c>
      <c r="E218" s="4" t="s">
        <v>281</v>
      </c>
      <c r="F218" s="4" t="s">
        <v>28</v>
      </c>
      <c r="G218" s="4" t="s">
        <v>29</v>
      </c>
      <c r="H218" s="4" t="s">
        <v>18</v>
      </c>
      <c r="I218" s="4" t="s">
        <v>19</v>
      </c>
      <c r="J218" s="4" t="s">
        <v>20</v>
      </c>
      <c r="K218" s="4" t="s">
        <v>18</v>
      </c>
    </row>
    <row r="219">
      <c r="A219" s="6" t="str">
        <f>IFERROR(__xludf.DUMMYFUNCTION("FLATTEN(ARRAYFORMULA(INDEX(A214:A218,INT((SEQUENCE(COUNTA(A214:A218)*3,1,0)/3)+1))))"),"Chat GPT")</f>
        <v>Chat GPT</v>
      </c>
      <c r="B219" s="6" t="str">
        <f>IFERROR(__xludf.DUMMYFUNCTION("FLATTEN(ARRAYFORMULA(INDEX(B214:B218,INT((SEQUENCE(COUNTA(B214:B218)*5,1,0)/5)+1))))"),"Open AI")</f>
        <v>Open AI</v>
      </c>
      <c r="C219" s="5" t="s">
        <v>298</v>
      </c>
      <c r="D219" s="5" t="s">
        <v>301</v>
      </c>
      <c r="E219" s="4" t="s">
        <v>281</v>
      </c>
      <c r="F219" s="4" t="s">
        <v>46</v>
      </c>
      <c r="G219" s="4" t="s">
        <v>29</v>
      </c>
      <c r="H219" s="4" t="s">
        <v>18</v>
      </c>
      <c r="I219" s="4" t="s">
        <v>73</v>
      </c>
      <c r="J219" s="4" t="s">
        <v>20</v>
      </c>
      <c r="K219" s="4" t="s">
        <v>18</v>
      </c>
    </row>
    <row r="220">
      <c r="A220" s="6" t="str">
        <f>IFERROR(__xludf.DUMMYFUNCTION("FLATTEN(ARRAYFORMULA(INDEX(A215:A219,INT((SEQUENCE(COUNTA(A215:A219)*3,1,0)/3)+1))))"),"Perplexity AI")</f>
        <v>Perplexity AI</v>
      </c>
      <c r="B220" s="6" t="str">
        <f>IFERROR(__xludf.DUMMYFUNCTION("FLATTEN(ARRAYFORMULA(INDEX(B215:B219,INT((SEQUENCE(COUNTA(B215:B219)*5,1,0)/5)+1))))"),"Perplexity AI, Inc.")</f>
        <v>Perplexity AI, Inc.</v>
      </c>
      <c r="C220" s="5" t="s">
        <v>298</v>
      </c>
      <c r="D220" s="5" t="s">
        <v>302</v>
      </c>
      <c r="E220" s="4" t="s">
        <v>281</v>
      </c>
      <c r="F220" s="4" t="s">
        <v>28</v>
      </c>
      <c r="G220" s="4" t="s">
        <v>29</v>
      </c>
      <c r="H220" s="4" t="s">
        <v>18</v>
      </c>
      <c r="I220" s="4" t="s">
        <v>19</v>
      </c>
      <c r="J220" s="4" t="s">
        <v>20</v>
      </c>
      <c r="K220" s="4" t="s">
        <v>24</v>
      </c>
    </row>
    <row r="221">
      <c r="A221" s="6" t="str">
        <f>IFERROR(__xludf.DUMMYFUNCTION("FLATTEN(ARRAYFORMULA(INDEX(A216:A220,INT((SEQUENCE(COUNTA(A216:A220)*3,1,0)/3)+1))))"),"Claude")</f>
        <v>Claude</v>
      </c>
      <c r="B221" s="6" t="str">
        <f>IFERROR(__xludf.DUMMYFUNCTION("FLATTEN(ARRAYFORMULA(INDEX(B216:B220,INT((SEQUENCE(COUNTA(B216:B220)*5,1,0)/5)+1))))"),"Anthropic")</f>
        <v>Anthropic</v>
      </c>
      <c r="C221" s="5" t="s">
        <v>298</v>
      </c>
      <c r="D221" s="5" t="s">
        <v>303</v>
      </c>
      <c r="E221" s="4" t="s">
        <v>281</v>
      </c>
      <c r="F221" s="4" t="s">
        <v>28</v>
      </c>
      <c r="G221" s="4" t="s">
        <v>29</v>
      </c>
      <c r="H221" s="4" t="s">
        <v>18</v>
      </c>
      <c r="I221" s="4" t="s">
        <v>19</v>
      </c>
      <c r="J221" s="4" t="s">
        <v>20</v>
      </c>
      <c r="K221" s="4" t="s">
        <v>18</v>
      </c>
    </row>
    <row r="222">
      <c r="A222" s="6" t="str">
        <f>IFERROR(__xludf.DUMMYFUNCTION("FLATTEN(ARRAYFORMULA(INDEX(A217:A221,INT((SEQUENCE(COUNTA(A217:A221)*3,1,0)/3)+1))))"),"Grok")</f>
        <v>Grok</v>
      </c>
      <c r="B222" s="6" t="str">
        <f>IFERROR(__xludf.DUMMYFUNCTION("FLATTEN(ARRAYFORMULA(INDEX(B217:B221,INT((SEQUENCE(COUNTA(B217:B221)*5,1,0)/5)+1))))"),"Xai")</f>
        <v>Xai</v>
      </c>
      <c r="C222" s="5" t="s">
        <v>304</v>
      </c>
      <c r="D222" s="5" t="s">
        <v>305</v>
      </c>
      <c r="E222" s="4" t="s">
        <v>281</v>
      </c>
      <c r="F222" s="4" t="s">
        <v>16</v>
      </c>
      <c r="G222" s="4" t="s">
        <v>29</v>
      </c>
      <c r="H222" s="4" t="s">
        <v>18</v>
      </c>
      <c r="I222" s="4" t="s">
        <v>19</v>
      </c>
      <c r="J222" s="4" t="s">
        <v>20</v>
      </c>
      <c r="K222" s="4" t="s">
        <v>18</v>
      </c>
    </row>
    <row r="223">
      <c r="A223" s="6" t="str">
        <f>IFERROR(__xludf.DUMMYFUNCTION("FLATTEN(ARRAYFORMULA(INDEX(A218:A222,INT((SEQUENCE(COUNTA(A218:A222)*3,1,0)/3)+1))))"),"Gemini")</f>
        <v>Gemini</v>
      </c>
      <c r="B223" s="6" t="str">
        <f>IFERROR(__xludf.DUMMYFUNCTION("FLATTEN(ARRAYFORMULA(INDEX(B218:B222,INT((SEQUENCE(COUNTA(B218:B222)*5,1,0)/5)+1))))"),"Google")</f>
        <v>Google</v>
      </c>
      <c r="C223" s="5" t="s">
        <v>304</v>
      </c>
      <c r="D223" s="5" t="s">
        <v>306</v>
      </c>
      <c r="E223" s="4" t="s">
        <v>281</v>
      </c>
      <c r="F223" s="4" t="s">
        <v>28</v>
      </c>
      <c r="G223" s="4" t="s">
        <v>29</v>
      </c>
      <c r="H223" s="4" t="s">
        <v>18</v>
      </c>
      <c r="I223" s="4" t="s">
        <v>19</v>
      </c>
      <c r="J223" s="4" t="s">
        <v>20</v>
      </c>
      <c r="K223" s="4" t="s">
        <v>18</v>
      </c>
    </row>
    <row r="224">
      <c r="A224" s="6" t="str">
        <f>IFERROR(__xludf.DUMMYFUNCTION("FLATTEN(ARRAYFORMULA(INDEX(A219:A223,INT((SEQUENCE(COUNTA(A219:A223)*3,1,0)/3)+1))))"),"Chat GPT")</f>
        <v>Chat GPT</v>
      </c>
      <c r="B224" s="6" t="str">
        <f>IFERROR(__xludf.DUMMYFUNCTION("FLATTEN(ARRAYFORMULA(INDEX(B219:B223,INT((SEQUENCE(COUNTA(B219:B223)*5,1,0)/5)+1))))"),"Open AI")</f>
        <v>Open AI</v>
      </c>
      <c r="C224" s="5" t="s">
        <v>304</v>
      </c>
      <c r="D224" s="5" t="s">
        <v>307</v>
      </c>
      <c r="E224" s="4" t="s">
        <v>281</v>
      </c>
      <c r="F224" s="4" t="s">
        <v>28</v>
      </c>
      <c r="G224" s="4" t="s">
        <v>29</v>
      </c>
      <c r="H224" s="4" t="s">
        <v>18</v>
      </c>
      <c r="I224" s="4" t="s">
        <v>73</v>
      </c>
      <c r="J224" s="4" t="s">
        <v>20</v>
      </c>
      <c r="K224" s="4" t="s">
        <v>18</v>
      </c>
    </row>
    <row r="225">
      <c r="A225" s="6" t="str">
        <f>IFERROR(__xludf.DUMMYFUNCTION("FLATTEN(ARRAYFORMULA(INDEX(A220:A224,INT((SEQUENCE(COUNTA(A220:A224)*3,1,0)/3)+1))))"),"Perplexity AI")</f>
        <v>Perplexity AI</v>
      </c>
      <c r="B225" s="6" t="str">
        <f>IFERROR(__xludf.DUMMYFUNCTION("FLATTEN(ARRAYFORMULA(INDEX(B220:B224,INT((SEQUENCE(COUNTA(B220:B224)*5,1,0)/5)+1))))"),"Perplexity AI, Inc.")</f>
        <v>Perplexity AI, Inc.</v>
      </c>
      <c r="C225" s="5" t="s">
        <v>304</v>
      </c>
      <c r="D225" s="5" t="s">
        <v>308</v>
      </c>
      <c r="E225" s="4" t="s">
        <v>281</v>
      </c>
      <c r="F225" s="4" t="s">
        <v>46</v>
      </c>
      <c r="G225" s="4" t="s">
        <v>17</v>
      </c>
      <c r="H225" s="4" t="s">
        <v>18</v>
      </c>
      <c r="I225" s="4" t="s">
        <v>19</v>
      </c>
      <c r="J225" s="4" t="s">
        <v>20</v>
      </c>
      <c r="K225" s="4" t="s">
        <v>24</v>
      </c>
    </row>
    <row r="226">
      <c r="A226" s="6" t="str">
        <f>IFERROR(__xludf.DUMMYFUNCTION("FLATTEN(ARRAYFORMULA(INDEX(A221:A225,INT((SEQUENCE(COUNTA(A221:A225)*3,1,0)/3)+1))))"),"Claude")</f>
        <v>Claude</v>
      </c>
      <c r="B226" s="6" t="str">
        <f>IFERROR(__xludf.DUMMYFUNCTION("FLATTEN(ARRAYFORMULA(INDEX(B221:B225,INT((SEQUENCE(COUNTA(B221:B225)*5,1,0)/5)+1))))"),"Anthropic")</f>
        <v>Anthropic</v>
      </c>
      <c r="C226" s="5" t="s">
        <v>304</v>
      </c>
      <c r="D226" s="5" t="s">
        <v>309</v>
      </c>
      <c r="E226" s="4" t="s">
        <v>281</v>
      </c>
      <c r="F226" s="4" t="s">
        <v>28</v>
      </c>
      <c r="G226" s="4" t="s">
        <v>29</v>
      </c>
      <c r="H226" s="4" t="s">
        <v>18</v>
      </c>
      <c r="I226" s="4" t="s">
        <v>19</v>
      </c>
      <c r="J226" s="4" t="s">
        <v>20</v>
      </c>
      <c r="K226" s="4" t="s">
        <v>18</v>
      </c>
    </row>
    <row r="227">
      <c r="A227" s="6" t="str">
        <f>IFERROR(__xludf.DUMMYFUNCTION("FLATTEN(ARRAYFORMULA(INDEX(A222:A226,INT((SEQUENCE(COUNTA(A222:A226)*3,1,0)/3)+1))))"),"Grok")</f>
        <v>Grok</v>
      </c>
      <c r="B227" s="6" t="str">
        <f>IFERROR(__xludf.DUMMYFUNCTION("FLATTEN(ARRAYFORMULA(INDEX(B222:B226,INT((SEQUENCE(COUNTA(B222:B226)*5,1,0)/5)+1))))"),"Xai")</f>
        <v>Xai</v>
      </c>
      <c r="C227" s="5" t="s">
        <v>310</v>
      </c>
      <c r="D227" s="5" t="s">
        <v>311</v>
      </c>
      <c r="E227" s="4" t="s">
        <v>281</v>
      </c>
      <c r="F227" s="4" t="s">
        <v>16</v>
      </c>
      <c r="G227" s="4" t="s">
        <v>17</v>
      </c>
      <c r="H227" s="4" t="s">
        <v>18</v>
      </c>
      <c r="I227" s="4" t="s">
        <v>73</v>
      </c>
      <c r="J227" s="4" t="s">
        <v>34</v>
      </c>
      <c r="K227" s="4" t="s">
        <v>18</v>
      </c>
    </row>
    <row r="228">
      <c r="A228" s="6" t="str">
        <f>IFERROR(__xludf.DUMMYFUNCTION("FLATTEN(ARRAYFORMULA(INDEX(A223:A227,INT((SEQUENCE(COUNTA(A223:A227)*3,1,0)/3)+1))))"),"Gemini")</f>
        <v>Gemini</v>
      </c>
      <c r="B228" s="6" t="str">
        <f>IFERROR(__xludf.DUMMYFUNCTION("FLATTEN(ARRAYFORMULA(INDEX(B223:B227,INT((SEQUENCE(COUNTA(B223:B227)*5,1,0)/5)+1))))"),"Google")</f>
        <v>Google</v>
      </c>
      <c r="C228" s="5" t="s">
        <v>310</v>
      </c>
      <c r="D228" s="5" t="s">
        <v>312</v>
      </c>
      <c r="E228" s="4" t="s">
        <v>281</v>
      </c>
      <c r="F228" s="4" t="s">
        <v>16</v>
      </c>
      <c r="G228" s="4" t="s">
        <v>29</v>
      </c>
      <c r="H228" s="4" t="s">
        <v>18</v>
      </c>
      <c r="I228" s="4" t="s">
        <v>19</v>
      </c>
      <c r="J228" s="4" t="s">
        <v>20</v>
      </c>
      <c r="K228" s="4" t="s">
        <v>18</v>
      </c>
    </row>
    <row r="229">
      <c r="A229" s="6" t="str">
        <f>IFERROR(__xludf.DUMMYFUNCTION("FLATTEN(ARRAYFORMULA(INDEX(A224:A228,INT((SEQUENCE(COUNTA(A224:A228)*3,1,0)/3)+1))))"),"Chat GPT")</f>
        <v>Chat GPT</v>
      </c>
      <c r="B229" s="6" t="str">
        <f>IFERROR(__xludf.DUMMYFUNCTION("FLATTEN(ARRAYFORMULA(INDEX(B224:B228,INT((SEQUENCE(COUNTA(B224:B228)*5,1,0)/5)+1))))"),"Open AI")</f>
        <v>Open AI</v>
      </c>
      <c r="C229" s="5" t="s">
        <v>310</v>
      </c>
      <c r="D229" s="5" t="s">
        <v>313</v>
      </c>
      <c r="E229" s="4" t="s">
        <v>281</v>
      </c>
      <c r="F229" s="4" t="s">
        <v>46</v>
      </c>
      <c r="G229" s="4" t="s">
        <v>29</v>
      </c>
      <c r="H229" s="4" t="s">
        <v>18</v>
      </c>
      <c r="I229" s="4" t="s">
        <v>73</v>
      </c>
      <c r="J229" s="4" t="s">
        <v>20</v>
      </c>
      <c r="K229" s="4" t="s">
        <v>18</v>
      </c>
    </row>
    <row r="230">
      <c r="A230" s="6" t="str">
        <f>IFERROR(__xludf.DUMMYFUNCTION("FLATTEN(ARRAYFORMULA(INDEX(A225:A229,INT((SEQUENCE(COUNTA(A225:A229)*3,1,0)/3)+1))))"),"Perplexity AI")</f>
        <v>Perplexity AI</v>
      </c>
      <c r="B230" s="6" t="str">
        <f>IFERROR(__xludf.DUMMYFUNCTION("FLATTEN(ARRAYFORMULA(INDEX(B225:B229,INT((SEQUENCE(COUNTA(B225:B229)*5,1,0)/5)+1))))"),"Perplexity AI, Inc.")</f>
        <v>Perplexity AI, Inc.</v>
      </c>
      <c r="C230" s="5" t="s">
        <v>310</v>
      </c>
      <c r="D230" s="5" t="s">
        <v>314</v>
      </c>
      <c r="E230" s="4" t="s">
        <v>281</v>
      </c>
      <c r="F230" s="4" t="s">
        <v>28</v>
      </c>
      <c r="G230" s="4" t="s">
        <v>29</v>
      </c>
      <c r="H230" s="4" t="s">
        <v>18</v>
      </c>
      <c r="I230" s="4" t="s">
        <v>19</v>
      </c>
      <c r="J230" s="4" t="s">
        <v>20</v>
      </c>
      <c r="K230" s="4" t="s">
        <v>24</v>
      </c>
    </row>
    <row r="231">
      <c r="A231" s="6" t="str">
        <f>IFERROR(__xludf.DUMMYFUNCTION("FLATTEN(ARRAYFORMULA(INDEX(A226:A230,INT((SEQUENCE(COUNTA(A226:A230)*3,1,0)/3)+1))))"),"Claude")</f>
        <v>Claude</v>
      </c>
      <c r="B231" s="6" t="str">
        <f>IFERROR(__xludf.DUMMYFUNCTION("FLATTEN(ARRAYFORMULA(INDEX(B226:B230,INT((SEQUENCE(COUNTA(B226:B230)*5,1,0)/5)+1))))"),"Anthropic")</f>
        <v>Anthropic</v>
      </c>
      <c r="C231" s="5" t="s">
        <v>310</v>
      </c>
      <c r="D231" s="5" t="s">
        <v>315</v>
      </c>
      <c r="E231" s="4" t="s">
        <v>281</v>
      </c>
      <c r="F231" s="4" t="s">
        <v>28</v>
      </c>
      <c r="G231" s="4" t="s">
        <v>29</v>
      </c>
      <c r="H231" s="4" t="s">
        <v>18</v>
      </c>
      <c r="I231" s="4" t="s">
        <v>73</v>
      </c>
      <c r="J231" s="4" t="s">
        <v>20</v>
      </c>
      <c r="K231" s="4" t="s">
        <v>18</v>
      </c>
    </row>
    <row r="232">
      <c r="A232" s="6" t="str">
        <f>IFERROR(__xludf.DUMMYFUNCTION("FLATTEN(ARRAYFORMULA(INDEX(A227:A231,INT((SEQUENCE(COUNTA(A227:A231)*3,1,0)/3)+1))))"),"Grok")</f>
        <v>Grok</v>
      </c>
      <c r="B232" s="6" t="str">
        <f>IFERROR(__xludf.DUMMYFUNCTION("FLATTEN(ARRAYFORMULA(INDEX(B227:B231,INT((SEQUENCE(COUNTA(B227:B231)*5,1,0)/5)+1))))"),"Xai")</f>
        <v>Xai</v>
      </c>
      <c r="C232" s="5" t="s">
        <v>316</v>
      </c>
      <c r="D232" s="5" t="s">
        <v>317</v>
      </c>
      <c r="E232" s="4" t="s">
        <v>281</v>
      </c>
      <c r="F232" s="4" t="s">
        <v>46</v>
      </c>
      <c r="G232" s="4" t="s">
        <v>29</v>
      </c>
      <c r="H232" s="4" t="s">
        <v>18</v>
      </c>
      <c r="I232" s="4" t="s">
        <v>73</v>
      </c>
      <c r="J232" s="4" t="s">
        <v>20</v>
      </c>
      <c r="K232" s="4" t="s">
        <v>18</v>
      </c>
    </row>
    <row r="233">
      <c r="A233" s="6" t="str">
        <f>IFERROR(__xludf.DUMMYFUNCTION("FLATTEN(ARRAYFORMULA(INDEX(A228:A232,INT((SEQUENCE(COUNTA(A228:A232)*3,1,0)/3)+1))))"),"Gemini")</f>
        <v>Gemini</v>
      </c>
      <c r="B233" s="6" t="str">
        <f>IFERROR(__xludf.DUMMYFUNCTION("FLATTEN(ARRAYFORMULA(INDEX(B228:B232,INT((SEQUENCE(COUNTA(B228:B232)*5,1,0)/5)+1))))"),"Google")</f>
        <v>Google</v>
      </c>
      <c r="C233" s="5" t="s">
        <v>316</v>
      </c>
      <c r="D233" s="5" t="s">
        <v>318</v>
      </c>
      <c r="E233" s="4" t="s">
        <v>281</v>
      </c>
      <c r="F233" s="4" t="s">
        <v>28</v>
      </c>
      <c r="G233" s="4" t="s">
        <v>29</v>
      </c>
      <c r="H233" s="4" t="s">
        <v>18</v>
      </c>
      <c r="I233" s="4" t="s">
        <v>19</v>
      </c>
      <c r="J233" s="4" t="s">
        <v>20</v>
      </c>
      <c r="K233" s="4" t="s">
        <v>18</v>
      </c>
    </row>
    <row r="234">
      <c r="A234" s="6" t="str">
        <f>IFERROR(__xludf.DUMMYFUNCTION("FLATTEN(ARRAYFORMULA(INDEX(A229:A233,INT((SEQUENCE(COUNTA(A229:A233)*3,1,0)/3)+1))))"),"Chat GPT")</f>
        <v>Chat GPT</v>
      </c>
      <c r="B234" s="6" t="str">
        <f>IFERROR(__xludf.DUMMYFUNCTION("FLATTEN(ARRAYFORMULA(INDEX(B229:B233,INT((SEQUENCE(COUNTA(B229:B233)*5,1,0)/5)+1))))"),"Open AI")</f>
        <v>Open AI</v>
      </c>
      <c r="C234" s="5" t="s">
        <v>316</v>
      </c>
      <c r="D234" s="5" t="s">
        <v>319</v>
      </c>
      <c r="E234" s="4" t="s">
        <v>281</v>
      </c>
      <c r="F234" s="4" t="s">
        <v>46</v>
      </c>
      <c r="G234" s="4" t="s">
        <v>29</v>
      </c>
      <c r="H234" s="4" t="s">
        <v>18</v>
      </c>
      <c r="I234" s="4" t="s">
        <v>73</v>
      </c>
      <c r="J234" s="4" t="s">
        <v>20</v>
      </c>
      <c r="K234" s="4" t="s">
        <v>18</v>
      </c>
    </row>
    <row r="235">
      <c r="A235" s="6" t="str">
        <f>IFERROR(__xludf.DUMMYFUNCTION("FLATTEN(ARRAYFORMULA(INDEX(A230:A234,INT((SEQUENCE(COUNTA(A230:A234)*3,1,0)/3)+1))))"),"Perplexity AI")</f>
        <v>Perplexity AI</v>
      </c>
      <c r="B235" s="6" t="str">
        <f>IFERROR(__xludf.DUMMYFUNCTION("FLATTEN(ARRAYFORMULA(INDEX(B230:B234,INT((SEQUENCE(COUNTA(B230:B234)*5,1,0)/5)+1))))"),"Perplexity AI, Inc.")</f>
        <v>Perplexity AI, Inc.</v>
      </c>
      <c r="C235" s="5" t="s">
        <v>316</v>
      </c>
      <c r="D235" s="5" t="s">
        <v>320</v>
      </c>
      <c r="E235" s="4" t="s">
        <v>281</v>
      </c>
      <c r="F235" s="4" t="s">
        <v>28</v>
      </c>
      <c r="G235" s="4" t="s">
        <v>29</v>
      </c>
      <c r="H235" s="4" t="s">
        <v>18</v>
      </c>
      <c r="I235" s="4" t="s">
        <v>19</v>
      </c>
      <c r="J235" s="4" t="s">
        <v>122</v>
      </c>
      <c r="K235" s="4" t="s">
        <v>24</v>
      </c>
    </row>
    <row r="236">
      <c r="A236" s="6" t="str">
        <f>IFERROR(__xludf.DUMMYFUNCTION("FLATTEN(ARRAYFORMULA(INDEX(A231:A235,INT((SEQUENCE(COUNTA(A231:A235)*3,1,0)/3)+1))))"),"Claude")</f>
        <v>Claude</v>
      </c>
      <c r="B236" s="6" t="str">
        <f>IFERROR(__xludf.DUMMYFUNCTION("FLATTEN(ARRAYFORMULA(INDEX(B231:B235,INT((SEQUENCE(COUNTA(B231:B235)*5,1,0)/5)+1))))"),"Anthropic")</f>
        <v>Anthropic</v>
      </c>
      <c r="C236" s="5" t="s">
        <v>316</v>
      </c>
      <c r="D236" s="5" t="s">
        <v>321</v>
      </c>
      <c r="E236" s="4" t="s">
        <v>281</v>
      </c>
      <c r="F236" s="4" t="s">
        <v>28</v>
      </c>
      <c r="G236" s="4" t="s">
        <v>29</v>
      </c>
      <c r="H236" s="4" t="s">
        <v>18</v>
      </c>
      <c r="I236" s="4" t="s">
        <v>19</v>
      </c>
      <c r="J236" s="4" t="s">
        <v>20</v>
      </c>
      <c r="K236" s="4" t="s">
        <v>18</v>
      </c>
    </row>
    <row r="237">
      <c r="A237" s="6" t="str">
        <f>IFERROR(__xludf.DUMMYFUNCTION("FLATTEN(ARRAYFORMULA(INDEX(A232:A236,INT((SEQUENCE(COUNTA(A232:A236)*3,1,0)/3)+1))))"),"Grok")</f>
        <v>Grok</v>
      </c>
      <c r="B237" s="6" t="str">
        <f>IFERROR(__xludf.DUMMYFUNCTION("FLATTEN(ARRAYFORMULA(INDEX(B232:B236,INT((SEQUENCE(COUNTA(B232:B236)*5,1,0)/5)+1))))"),"Xai")</f>
        <v>Xai</v>
      </c>
      <c r="C237" s="5" t="s">
        <v>322</v>
      </c>
      <c r="D237" s="5" t="s">
        <v>323</v>
      </c>
      <c r="E237" s="4" t="s">
        <v>281</v>
      </c>
      <c r="F237" s="4" t="s">
        <v>16</v>
      </c>
      <c r="G237" s="4" t="s">
        <v>17</v>
      </c>
      <c r="H237" s="4" t="s">
        <v>18</v>
      </c>
      <c r="I237" s="4" t="s">
        <v>73</v>
      </c>
      <c r="J237" s="4" t="s">
        <v>20</v>
      </c>
      <c r="K237" s="4" t="s">
        <v>18</v>
      </c>
    </row>
    <row r="238">
      <c r="A238" s="6" t="str">
        <f>IFERROR(__xludf.DUMMYFUNCTION("FLATTEN(ARRAYFORMULA(INDEX(A233:A237,INT((SEQUENCE(COUNTA(A233:A237)*3,1,0)/3)+1))))"),"Gemini")</f>
        <v>Gemini</v>
      </c>
      <c r="B238" s="6" t="str">
        <f>IFERROR(__xludf.DUMMYFUNCTION("FLATTEN(ARRAYFORMULA(INDEX(B233:B237,INT((SEQUENCE(COUNTA(B233:B237)*5,1,0)/5)+1))))"),"Google")</f>
        <v>Google</v>
      </c>
      <c r="C238" s="5" t="s">
        <v>322</v>
      </c>
      <c r="D238" s="5" t="s">
        <v>324</v>
      </c>
      <c r="E238" s="4" t="s">
        <v>281</v>
      </c>
      <c r="F238" s="4" t="s">
        <v>16</v>
      </c>
      <c r="G238" s="4" t="s">
        <v>17</v>
      </c>
      <c r="H238" s="4" t="s">
        <v>18</v>
      </c>
      <c r="I238" s="4" t="s">
        <v>19</v>
      </c>
      <c r="J238" s="4" t="s">
        <v>20</v>
      </c>
      <c r="K238" s="4" t="s">
        <v>18</v>
      </c>
    </row>
    <row r="239">
      <c r="A239" s="6" t="str">
        <f>IFERROR(__xludf.DUMMYFUNCTION("FLATTEN(ARRAYFORMULA(INDEX(A234:A238,INT((SEQUENCE(COUNTA(A234:A238)*3,1,0)/3)+1))))"),"Chat GPT")</f>
        <v>Chat GPT</v>
      </c>
      <c r="B239" s="6" t="str">
        <f>IFERROR(__xludf.DUMMYFUNCTION("FLATTEN(ARRAYFORMULA(INDEX(B234:B238,INT((SEQUENCE(COUNTA(B234:B238)*5,1,0)/5)+1))))"),"Open AI")</f>
        <v>Open AI</v>
      </c>
      <c r="C239" s="5" t="s">
        <v>322</v>
      </c>
      <c r="D239" s="5" t="s">
        <v>325</v>
      </c>
      <c r="E239" s="4" t="s">
        <v>281</v>
      </c>
      <c r="F239" s="4" t="s">
        <v>46</v>
      </c>
      <c r="G239" s="4" t="s">
        <v>29</v>
      </c>
      <c r="H239" s="4" t="s">
        <v>18</v>
      </c>
      <c r="I239" s="4" t="s">
        <v>73</v>
      </c>
      <c r="J239" s="4" t="s">
        <v>20</v>
      </c>
      <c r="K239" s="4" t="s">
        <v>18</v>
      </c>
    </row>
    <row r="240">
      <c r="A240" s="6" t="str">
        <f>IFERROR(__xludf.DUMMYFUNCTION("FLATTEN(ARRAYFORMULA(INDEX(A235:A239,INT((SEQUENCE(COUNTA(A235:A239)*3,1,0)/3)+1))))"),"Perplexity AI")</f>
        <v>Perplexity AI</v>
      </c>
      <c r="B240" s="6" t="str">
        <f>IFERROR(__xludf.DUMMYFUNCTION("FLATTEN(ARRAYFORMULA(INDEX(B235:B239,INT((SEQUENCE(COUNTA(B235:B239)*5,1,0)/5)+1))))"),"Perplexity AI, Inc.")</f>
        <v>Perplexity AI, Inc.</v>
      </c>
      <c r="C240" s="5" t="s">
        <v>322</v>
      </c>
      <c r="D240" s="5" t="s">
        <v>326</v>
      </c>
      <c r="E240" s="4" t="s">
        <v>281</v>
      </c>
      <c r="F240" s="4" t="s">
        <v>16</v>
      </c>
      <c r="G240" s="4" t="s">
        <v>17</v>
      </c>
      <c r="H240" s="4" t="s">
        <v>18</v>
      </c>
      <c r="I240" s="4" t="s">
        <v>19</v>
      </c>
      <c r="J240" s="4" t="s">
        <v>122</v>
      </c>
      <c r="K240" s="4" t="s">
        <v>24</v>
      </c>
    </row>
    <row r="241">
      <c r="A241" s="6" t="str">
        <f>IFERROR(__xludf.DUMMYFUNCTION("FLATTEN(ARRAYFORMULA(INDEX(A236:A240,INT((SEQUENCE(COUNTA(A236:A240)*3,1,0)/3)+1))))"),"Claude")</f>
        <v>Claude</v>
      </c>
      <c r="B241" s="6" t="str">
        <f>IFERROR(__xludf.DUMMYFUNCTION("FLATTEN(ARRAYFORMULA(INDEX(B236:B240,INT((SEQUENCE(COUNTA(B236:B240)*5,1,0)/5)+1))))"),"Anthropic")</f>
        <v>Anthropic</v>
      </c>
      <c r="C241" s="5" t="s">
        <v>322</v>
      </c>
      <c r="D241" s="5" t="s">
        <v>327</v>
      </c>
      <c r="E241" s="4" t="s">
        <v>281</v>
      </c>
      <c r="F241" s="4" t="s">
        <v>28</v>
      </c>
      <c r="G241" s="4" t="s">
        <v>17</v>
      </c>
      <c r="H241" s="4" t="s">
        <v>18</v>
      </c>
      <c r="I241" s="4" t="s">
        <v>19</v>
      </c>
      <c r="J241" s="4" t="s">
        <v>20</v>
      </c>
      <c r="K241" s="4" t="s">
        <v>18</v>
      </c>
    </row>
    <row r="242">
      <c r="A242" s="6" t="str">
        <f>IFERROR(__xludf.DUMMYFUNCTION("FLATTEN(ARRAYFORMULA(INDEX(A237:A241,INT((SEQUENCE(COUNTA(A237:A241)*3,1,0)/3)+1))))"),"Grok")</f>
        <v>Grok</v>
      </c>
      <c r="B242" s="6" t="str">
        <f>IFERROR(__xludf.DUMMYFUNCTION("FLATTEN(ARRAYFORMULA(INDEX(B237:B241,INT((SEQUENCE(COUNTA(B237:B241)*5,1,0)/5)+1))))"),"Xai")</f>
        <v>Xai</v>
      </c>
      <c r="C242" s="5" t="s">
        <v>328</v>
      </c>
      <c r="D242" s="5" t="s">
        <v>329</v>
      </c>
      <c r="E242" s="4" t="s">
        <v>281</v>
      </c>
      <c r="F242" s="4" t="s">
        <v>16</v>
      </c>
      <c r="G242" s="4" t="s">
        <v>33</v>
      </c>
      <c r="H242" s="4" t="s">
        <v>18</v>
      </c>
      <c r="I242" s="4" t="s">
        <v>73</v>
      </c>
      <c r="J242" s="4" t="s">
        <v>20</v>
      </c>
      <c r="K242" s="4" t="s">
        <v>18</v>
      </c>
    </row>
    <row r="243">
      <c r="A243" s="6" t="str">
        <f>IFERROR(__xludf.DUMMYFUNCTION("FLATTEN(ARRAYFORMULA(INDEX(A238:A242,INT((SEQUENCE(COUNTA(A238:A242)*3,1,0)/3)+1))))"),"Gemini")</f>
        <v>Gemini</v>
      </c>
      <c r="B243" s="6" t="str">
        <f>IFERROR(__xludf.DUMMYFUNCTION("FLATTEN(ARRAYFORMULA(INDEX(B238:B242,INT((SEQUENCE(COUNTA(B238:B242)*5,1,0)/5)+1))))"),"Google")</f>
        <v>Google</v>
      </c>
      <c r="C243" s="5" t="s">
        <v>328</v>
      </c>
      <c r="D243" s="5" t="s">
        <v>330</v>
      </c>
      <c r="E243" s="4" t="s">
        <v>281</v>
      </c>
      <c r="F243" s="4" t="s">
        <v>16</v>
      </c>
      <c r="G243" s="4" t="s">
        <v>17</v>
      </c>
      <c r="H243" s="4" t="s">
        <v>18</v>
      </c>
      <c r="I243" s="4" t="s">
        <v>73</v>
      </c>
      <c r="J243" s="4" t="s">
        <v>20</v>
      </c>
      <c r="K243" s="4" t="s">
        <v>18</v>
      </c>
    </row>
    <row r="244">
      <c r="A244" s="6" t="str">
        <f>IFERROR(__xludf.DUMMYFUNCTION("FLATTEN(ARRAYFORMULA(INDEX(A239:A243,INT((SEQUENCE(COUNTA(A239:A243)*3,1,0)/3)+1))))"),"Chat GPT")</f>
        <v>Chat GPT</v>
      </c>
      <c r="B244" s="6" t="str">
        <f>IFERROR(__xludf.DUMMYFUNCTION("FLATTEN(ARRAYFORMULA(INDEX(B239:B243,INT((SEQUENCE(COUNTA(B239:B243)*5,1,0)/5)+1))))"),"Open AI")</f>
        <v>Open AI</v>
      </c>
      <c r="C244" s="5" t="s">
        <v>328</v>
      </c>
      <c r="D244" s="5" t="s">
        <v>331</v>
      </c>
      <c r="E244" s="4" t="s">
        <v>281</v>
      </c>
      <c r="F244" s="4" t="s">
        <v>28</v>
      </c>
      <c r="G244" s="4" t="s">
        <v>29</v>
      </c>
      <c r="H244" s="4" t="s">
        <v>18</v>
      </c>
      <c r="I244" s="4" t="s">
        <v>73</v>
      </c>
      <c r="J244" s="4" t="s">
        <v>20</v>
      </c>
      <c r="K244" s="4" t="s">
        <v>18</v>
      </c>
    </row>
    <row r="245">
      <c r="A245" s="6" t="str">
        <f>IFERROR(__xludf.DUMMYFUNCTION("FLATTEN(ARRAYFORMULA(INDEX(A240:A244,INT((SEQUENCE(COUNTA(A240:A244)*3,1,0)/3)+1))))"),"Perplexity AI")</f>
        <v>Perplexity AI</v>
      </c>
      <c r="B245" s="6" t="str">
        <f>IFERROR(__xludf.DUMMYFUNCTION("FLATTEN(ARRAYFORMULA(INDEX(B240:B244,INT((SEQUENCE(COUNTA(B240:B244)*5,1,0)/5)+1))))"),"Perplexity AI, Inc.")</f>
        <v>Perplexity AI, Inc.</v>
      </c>
      <c r="C245" s="5" t="s">
        <v>328</v>
      </c>
      <c r="D245" s="5" t="s">
        <v>332</v>
      </c>
      <c r="E245" s="4" t="s">
        <v>281</v>
      </c>
      <c r="F245" s="4" t="s">
        <v>16</v>
      </c>
      <c r="G245" s="4" t="s">
        <v>33</v>
      </c>
      <c r="H245" s="4" t="s">
        <v>18</v>
      </c>
      <c r="I245" s="4" t="s">
        <v>19</v>
      </c>
      <c r="J245" s="4" t="s">
        <v>122</v>
      </c>
      <c r="K245" s="4" t="s">
        <v>24</v>
      </c>
    </row>
    <row r="246">
      <c r="A246" s="6" t="str">
        <f>IFERROR(__xludf.DUMMYFUNCTION("FLATTEN(ARRAYFORMULA(INDEX(A241:A245,INT((SEQUENCE(COUNTA(A241:A245)*3,1,0)/3)+1))))"),"Claude")</f>
        <v>Claude</v>
      </c>
      <c r="B246" s="6" t="str">
        <f>IFERROR(__xludf.DUMMYFUNCTION("FLATTEN(ARRAYFORMULA(INDEX(B241:B245,INT((SEQUENCE(COUNTA(B241:B245)*5,1,0)/5)+1))))"),"Anthropic")</f>
        <v>Anthropic</v>
      </c>
      <c r="C246" s="5" t="s">
        <v>328</v>
      </c>
      <c r="D246" s="5" t="s">
        <v>333</v>
      </c>
      <c r="E246" s="4" t="s">
        <v>281</v>
      </c>
      <c r="F246" s="4" t="s">
        <v>28</v>
      </c>
      <c r="G246" s="4" t="s">
        <v>17</v>
      </c>
      <c r="H246" s="4" t="s">
        <v>18</v>
      </c>
      <c r="I246" s="4" t="s">
        <v>73</v>
      </c>
      <c r="J246" s="4" t="s">
        <v>20</v>
      </c>
      <c r="K246" s="4" t="s">
        <v>18</v>
      </c>
    </row>
    <row r="247">
      <c r="A247" s="6" t="str">
        <f>IFERROR(__xludf.DUMMYFUNCTION("FLATTEN(ARRAYFORMULA(INDEX(A242:A246,INT((SEQUENCE(COUNTA(A242:A246)*3,1,0)/3)+1))))"),"Grok")</f>
        <v>Grok</v>
      </c>
      <c r="B247" s="6" t="str">
        <f>IFERROR(__xludf.DUMMYFUNCTION("FLATTEN(ARRAYFORMULA(INDEX(B242:B246,INT((SEQUENCE(COUNTA(B242:B246)*5,1,0)/5)+1))))"),"Xai")</f>
        <v>Xai</v>
      </c>
      <c r="C247" s="5" t="s">
        <v>334</v>
      </c>
      <c r="D247" s="5" t="s">
        <v>335</v>
      </c>
      <c r="E247" s="4" t="s">
        <v>281</v>
      </c>
      <c r="F247" s="4" t="s">
        <v>46</v>
      </c>
      <c r="G247" s="4" t="s">
        <v>29</v>
      </c>
      <c r="H247" s="4" t="s">
        <v>18</v>
      </c>
      <c r="I247" s="4" t="s">
        <v>73</v>
      </c>
      <c r="J247" s="4" t="s">
        <v>20</v>
      </c>
      <c r="K247" s="4" t="s">
        <v>18</v>
      </c>
    </row>
    <row r="248">
      <c r="A248" s="6" t="str">
        <f>IFERROR(__xludf.DUMMYFUNCTION("FLATTEN(ARRAYFORMULA(INDEX(A243:A247,INT((SEQUENCE(COUNTA(A243:A247)*3,1,0)/3)+1))))"),"Gemini")</f>
        <v>Gemini</v>
      </c>
      <c r="B248" s="6" t="str">
        <f>IFERROR(__xludf.DUMMYFUNCTION("FLATTEN(ARRAYFORMULA(INDEX(B243:B247,INT((SEQUENCE(COUNTA(B243:B247)*5,1,0)/5)+1))))"),"Google")</f>
        <v>Google</v>
      </c>
      <c r="C248" s="5" t="s">
        <v>334</v>
      </c>
      <c r="D248" s="5" t="s">
        <v>336</v>
      </c>
      <c r="E248" s="4" t="s">
        <v>281</v>
      </c>
      <c r="F248" s="4" t="s">
        <v>46</v>
      </c>
      <c r="G248" s="4" t="s">
        <v>29</v>
      </c>
      <c r="H248" s="4" t="s">
        <v>18</v>
      </c>
      <c r="I248" s="4" t="s">
        <v>73</v>
      </c>
      <c r="J248" s="4" t="s">
        <v>20</v>
      </c>
      <c r="K248" s="4" t="s">
        <v>18</v>
      </c>
    </row>
    <row r="249">
      <c r="A249" s="6" t="str">
        <f>IFERROR(__xludf.DUMMYFUNCTION("FLATTEN(ARRAYFORMULA(INDEX(A244:A248,INT((SEQUENCE(COUNTA(A244:A248)*3,1,0)/3)+1))))"),"Chat GPT")</f>
        <v>Chat GPT</v>
      </c>
      <c r="B249" s="6" t="str">
        <f>IFERROR(__xludf.DUMMYFUNCTION("FLATTEN(ARRAYFORMULA(INDEX(B244:B248,INT((SEQUENCE(COUNTA(B244:B248)*5,1,0)/5)+1))))"),"Open AI")</f>
        <v>Open AI</v>
      </c>
      <c r="C249" s="5" t="s">
        <v>334</v>
      </c>
      <c r="D249" s="5" t="s">
        <v>337</v>
      </c>
      <c r="E249" s="4" t="s">
        <v>281</v>
      </c>
      <c r="F249" s="4" t="s">
        <v>46</v>
      </c>
      <c r="G249" s="4" t="s">
        <v>29</v>
      </c>
      <c r="H249" s="4" t="s">
        <v>18</v>
      </c>
      <c r="I249" s="4" t="s">
        <v>73</v>
      </c>
      <c r="J249" s="4" t="s">
        <v>20</v>
      </c>
      <c r="K249" s="4" t="s">
        <v>18</v>
      </c>
    </row>
    <row r="250">
      <c r="A250" s="6" t="str">
        <f>IFERROR(__xludf.DUMMYFUNCTION("FLATTEN(ARRAYFORMULA(INDEX(A245:A249,INT((SEQUENCE(COUNTA(A245:A249)*3,1,0)/3)+1))))"),"Perplexity AI")</f>
        <v>Perplexity AI</v>
      </c>
      <c r="B250" s="6" t="str">
        <f>IFERROR(__xludf.DUMMYFUNCTION("FLATTEN(ARRAYFORMULA(INDEX(B245:B249,INT((SEQUENCE(COUNTA(B245:B249)*5,1,0)/5)+1))))"),"Perplexity AI, Inc.")</f>
        <v>Perplexity AI, Inc.</v>
      </c>
      <c r="C250" s="5" t="s">
        <v>334</v>
      </c>
      <c r="D250" s="5" t="s">
        <v>338</v>
      </c>
      <c r="E250" s="4" t="s">
        <v>281</v>
      </c>
      <c r="F250" s="4" t="s">
        <v>46</v>
      </c>
      <c r="G250" s="4" t="s">
        <v>29</v>
      </c>
      <c r="H250" s="4" t="s">
        <v>18</v>
      </c>
      <c r="I250" s="4" t="s">
        <v>19</v>
      </c>
      <c r="J250" s="4" t="s">
        <v>20</v>
      </c>
      <c r="K250" s="4" t="s">
        <v>24</v>
      </c>
    </row>
    <row r="251">
      <c r="A251" s="6" t="str">
        <f>IFERROR(__xludf.DUMMYFUNCTION("FLATTEN(ARRAYFORMULA(INDEX(A246:A250,INT((SEQUENCE(COUNTA(A246:A250)*3,1,0)/3)+1))))"),"Claude")</f>
        <v>Claude</v>
      </c>
      <c r="B251" s="6" t="str">
        <f>IFERROR(__xludf.DUMMYFUNCTION("FLATTEN(ARRAYFORMULA(INDEX(B246:B250,INT((SEQUENCE(COUNTA(B246:B250)*5,1,0)/5)+1))))"),"Anthropic")</f>
        <v>Anthropic</v>
      </c>
      <c r="C251" s="5" t="s">
        <v>334</v>
      </c>
      <c r="D251" s="5" t="s">
        <v>339</v>
      </c>
      <c r="E251" s="4" t="s">
        <v>281</v>
      </c>
      <c r="F251" s="4" t="s">
        <v>46</v>
      </c>
      <c r="G251" s="4" t="s">
        <v>29</v>
      </c>
      <c r="H251" s="4" t="s">
        <v>18</v>
      </c>
      <c r="I251" s="4" t="s">
        <v>19</v>
      </c>
      <c r="J251" s="4" t="s">
        <v>20</v>
      </c>
      <c r="K251" s="4" t="s">
        <v>18</v>
      </c>
    </row>
  </sheetData>
  <dataValidations>
    <dataValidation type="list" allowBlank="1" showErrorMessage="1" sqref="E2:E251">
      <formula1>"STEM,History/Art,Creative Prompting,Pop Culture/Media,Chatting"</formula1>
    </dataValidation>
    <dataValidation type="list" allowBlank="1" showErrorMessage="1" sqref="G3:G251">
      <formula1>"Easy,Hard,Medium difficulty"</formula1>
    </dataValidation>
    <dataValidation type="list" allowBlank="1" showErrorMessage="1" sqref="I2:I251">
      <formula1>"Cold/Mechanical ,Warm/Personable,Awkward/Unnatural"</formula1>
    </dataValidation>
    <dataValidation type="list" allowBlank="1" showErrorMessage="1" sqref="A2:A251">
      <formula1>"Chat GPT,Claude,Gemini,Grok,Perplexity AI"</formula1>
    </dataValidation>
    <dataValidation type="list" allowBlank="1" showErrorMessage="1" sqref="G2">
      <formula1>"Easy,Hard,Medium difficulty"</formula1>
    </dataValidation>
    <dataValidation type="list" allowBlank="1" showErrorMessage="1" sqref="J2:J251">
      <formula1>"Intent Met,Intent Not Met,Went Beyond Intent"</formula1>
    </dataValidation>
    <dataValidation type="list" allowBlank="1" showErrorMessage="1" sqref="F2:F251">
      <formula1>"Short,Medium,Long"</formula1>
    </dataValidation>
    <dataValidation type="list" allowBlank="1" showErrorMessage="1" sqref="H2:H251">
      <formula1>"Yes,No"</formula1>
    </dataValidation>
    <dataValidation type="list" allowBlank="1" showErrorMessage="1" sqref="B2:B251">
      <formula1>"Anthropic,Google,Open AI,Perplexity AI, Inc.,Xai"</formula1>
    </dataValidation>
    <dataValidation type="list" allowBlank="1" showErrorMessage="1" sqref="K2:K251">
      <formula1>"No,Yes"</formula1>
    </dataValidation>
  </dataValidations>
  <hyperlinks>
    <hyperlink r:id="rId1" ref="D5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10"/>
    <row r="11"/>
    <row r="12"/>
    <row r="13"/>
    <row r="14"/>
    <row r="15"/>
    <row r="16"/>
    <row r="17"/>
    <row r="19"/>
    <row r="20"/>
    <row r="21"/>
    <row r="22"/>
    <row r="23"/>
    <row r="24"/>
    <row r="25"/>
    <row r="26"/>
    <row r="28"/>
    <row r="29"/>
    <row r="30"/>
    <row r="31"/>
    <row r="32"/>
    <row r="33"/>
    <row r="34"/>
    <row r="35"/>
    <row r="37"/>
    <row r="38"/>
    <row r="39"/>
    <row r="40"/>
    <row r="41"/>
    <row r="42"/>
    <row r="43"/>
    <row r="44"/>
    <row r="46"/>
    <row r="47"/>
    <row r="48"/>
    <row r="49"/>
    <row r="50"/>
    <row r="51"/>
    <row r="52"/>
    <row r="53"/>
  </sheetData>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6"/>
    <row r="7"/>
    <row r="8"/>
    <row r="9"/>
    <row r="11"/>
    <row r="12"/>
    <row r="13"/>
    <row r="14"/>
    <row r="16"/>
    <row r="17"/>
    <row r="18"/>
    <row r="19"/>
    <row r="21"/>
    <row r="22"/>
    <row r="23"/>
    <row r="24"/>
    <row r="26"/>
    <row r="27"/>
    <row r="28"/>
    <row r="29"/>
  </sheetData>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6"/>
    <row r="7"/>
    <row r="8"/>
    <row r="9"/>
    <row r="11"/>
    <row r="12"/>
    <row r="13"/>
    <row r="14"/>
    <row r="16"/>
    <row r="17"/>
    <row r="18"/>
    <row r="19"/>
    <row r="21"/>
    <row r="22"/>
    <row r="23"/>
    <row r="24"/>
    <row r="26"/>
    <row r="27"/>
    <row r="28"/>
    <row r="29"/>
  </sheetData>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6"/>
    <row r="7"/>
    <row r="8"/>
    <row r="9"/>
    <row r="11"/>
    <row r="12"/>
    <row r="13"/>
    <row r="14"/>
    <row r="16"/>
    <row r="17"/>
    <row r="18"/>
    <row r="19"/>
    <row r="21"/>
    <row r="22"/>
    <row r="23"/>
    <row r="24"/>
    <row r="26"/>
    <row r="27"/>
    <row r="28"/>
    <row r="29"/>
  </sheetData>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6"/>
    <row r="7"/>
    <row r="8"/>
    <row r="9"/>
    <row r="11"/>
    <row r="12"/>
    <row r="13"/>
    <row r="14"/>
    <row r="16"/>
    <row r="17"/>
    <row r="18"/>
    <row r="19"/>
    <row r="21"/>
    <row r="22"/>
    <row r="23"/>
    <row r="24"/>
    <row r="26"/>
    <row r="27"/>
    <row r="28"/>
    <row r="29"/>
  </sheetData>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6"/>
    <row r="7"/>
    <row r="8"/>
    <row r="9"/>
    <row r="11"/>
    <row r="12"/>
    <row r="13"/>
    <row r="14"/>
    <row r="16"/>
    <row r="17"/>
    <row r="18"/>
    <row r="19"/>
    <row r="21"/>
    <row r="22"/>
    <row r="23"/>
    <row r="24"/>
    <row r="26"/>
    <row r="27"/>
    <row r="28"/>
    <row r="29"/>
  </sheetData>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11"/>
    <row r="12"/>
    <row r="13"/>
    <row r="14"/>
    <row r="15"/>
    <row r="16"/>
    <row r="17"/>
    <row r="18"/>
    <row r="21"/>
    <row r="22"/>
    <row r="23"/>
    <row r="24"/>
    <row r="25"/>
    <row r="26"/>
    <row r="27"/>
    <row r="28"/>
    <row r="31"/>
    <row r="32"/>
    <row r="33"/>
    <row r="34"/>
    <row r="35"/>
    <row r="36"/>
    <row r="37"/>
    <row r="38"/>
    <row r="41"/>
    <row r="42"/>
    <row r="43"/>
    <row r="44"/>
    <row r="45"/>
    <row r="46"/>
    <row r="47"/>
    <row r="48"/>
    <row r="51"/>
    <row r="52"/>
    <row r="53"/>
    <row r="54"/>
    <row r="55"/>
    <row r="56"/>
    <row r="57"/>
    <row r="58"/>
  </sheetData>
  <drawing r:id="rId7"/>
</worksheet>
</file>