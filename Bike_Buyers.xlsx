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8" yWindow="-108" windowWidth="23256" windowHeight="12456"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45621"/>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27" i="4" l="1"/>
  <c r="M1026" i="4"/>
  <c r="M1025" i="4"/>
  <c r="M1024" i="4"/>
  <c r="M1023" i="4"/>
  <c r="M1022" i="4"/>
  <c r="M1021" i="4"/>
  <c r="M1020" i="4"/>
  <c r="M1019" i="4"/>
  <c r="M1018" i="4"/>
  <c r="M1017" i="4"/>
  <c r="M1016" i="4"/>
  <c r="M1015" i="4"/>
  <c r="M1014" i="4"/>
  <c r="M1013" i="4"/>
  <c r="M1012" i="4"/>
  <c r="M1011" i="4"/>
  <c r="M1010" i="4"/>
  <c r="M1009" i="4"/>
  <c r="M1008" i="4"/>
  <c r="M1007" i="4"/>
  <c r="M1006" i="4"/>
  <c r="M1005" i="4"/>
  <c r="M1004" i="4"/>
  <c r="M1003" i="4"/>
  <c r="M100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<sst xmlns="http://schemas.openxmlformats.org/spreadsheetml/2006/main" count="16475" uniqueCount="51">
  <si>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</si>
  <si>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</si>
  <si>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</si>
  <si>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</si>
  <si>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</si>
  <si>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</si>
  <si>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</si>
  <si>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</si>
  <si>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</si>
  <si>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</si>
  <si>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</si>
  <si>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</si>
  <si>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</si>
  <si>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</si>
  <si>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</si>
  <si>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</si>
  <si>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</si>
  <si>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</si>
  <si>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</si>
  <si>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</si>
  <si>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</si>
  <si>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</si>
  <si>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</si>
  <si>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</si>
  <si>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</si>
  <si>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</si>
  <si>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</si>
  <si>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</si>
  <si>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</si>
  <si>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</si>
  <si>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</si>
  <si>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</si>
  <si>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</si>
  <si>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</si>
  <si>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</si>
  <si>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</si>
  <si>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</si>
  <si>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</si>
  <si>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</si>
  <si>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</si>
  <si>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</si>
  <si>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Middle Age</t>
  </si>
  <si>
    <t>Row Labels</t>
  </si>
  <si>
    <t>Grand Total</t>
  </si>
  <si>
    <t>Average of Income</t>
  </si>
  <si>
    <t>Column Labels</t>
  </si>
  <si>
    <t>Count of Purchased Bike</t>
  </si>
  <si>
    <t>More than 10 Miles</t>
  </si>
  <si>
    <t>Adolescent</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</si>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</sst>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a:lstStyle/>
          <a:p>
            <a:pPr>
              <a:defRPr/>
            </a:pPr>
            <a:r>
              <a:rPr lang="en-US"/>
              <a:t>Avg</a:t>
            </a:r>
            <a:r>
              <a:rPr lang="en-US" baseline="0"/>
              <a:t> Income Per Gender</a:t>
            </a:r>
            <a:endParaRPr lang="en-US"/>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Table'!$B$2:$B$3</c:f>
              <c:strCache>
                <c:ptCount val="1"/>
                <c:pt idx="0">
                  <c:v>No</c:v>
                </c:pt>
              </c:strCache>
            </c:strRef>
          </c:tx>
          <c:invertIfNegative val="0"/>
          <c:cat>
            <c:strRef>
              <c:f>'Pivot Table'!$A$4:$A$6</c:f>
              <c:strCache>
                <c:ptCount val="2"/>
                <c:pt idx="0">
                  <c:v>Female</c:v>
                </c:pt>
                <c:pt idx="1">
                  <c:v>Male</c:v>
                </c:pt>
              </c:strCache>
            </c:strRef>
          </c:cat>
          <c:val>
            <c:numRef>
              <c:f>'Pivot Table'!$B$4:$B$6</c:f>
              <c:numCache>
                <c:formatCode>0</c:formatCode>
                <c:ptCount val="2"/>
                <c:pt idx="0">
                  <c:v>53449.612403100778</c:v>
                </c:pt>
                <c:pt idx="1">
                  <c:v>56520.146520146518</c:v>
                </c:pt>
              </c:numCache>
            </c:numRef>
          </c:val>
        </c:ser>
        <c:ser>
          <c:idx val="1"/>
          <c:order val="1"/>
          <c:tx>
            <c:strRef>
              <c:f>'Pivot Table'!$C$2:$C$3</c:f>
              <c:strCache>
                <c:ptCount val="1"/>
                <c:pt idx="0">
                  <c:v>Yes</c:v>
                </c:pt>
              </c:strCache>
            </c:strRef>
          </c:tx>
          <c:invertIfNegative val="0"/>
          <c:cat>
            <c:strRef>
              <c:f>'Pivot Table'!$A$4:$A$6</c:f>
              <c:strCache>
                <c:ptCount val="2"/>
                <c:pt idx="0">
                  <c:v>Female</c:v>
                </c:pt>
                <c:pt idx="1">
                  <c:v>Male</c:v>
                </c:pt>
              </c:strCache>
            </c:strRef>
          </c:cat>
          <c:val>
            <c:numRef>
              <c:f>'Pivot Table'!$C$4:$C$6</c:f>
              <c:numCache>
                <c:formatCode>0</c:formatCode>
                <c:ptCount val="2"/>
                <c:pt idx="0">
                  <c:v>55267.489711934155</c:v>
                </c:pt>
                <c:pt idx="1">
                  <c:v>59603.174603174601</c:v>
                </c:pt>
              </c:numCache>
            </c:numRef>
          </c:val>
        </c:ser>
        <c:dLbls>
          <c:showLegendKey val="0"/>
          <c:showVal val="0"/>
          <c:showCatName val="0"/>
          <c:showSerName val="0"/>
          <c:showPercent val="0"/>
          <c:showBubbleSize val="0"/>
        </c:dLbls>
        <c:gapWidth val="150"/>
        <c:axId val="148191488"/>
        <c:axId val="148193280"/>
      </c:barChart>
      <c:catAx>
        <c:axId val="148191488"/>
        <c:scaling>
          <c:orientation val="minMax"/>
        </c:scaling>
        <c:delete val="0"/>
        <c:axPos val="b"/>
        <c:title>
          <c:tx>
            <c:rich>
              <a:bodyPr/>
              <a:lstStyle/>
              <a:p>
                <a:pPr>
                  <a:defRPr/>
                </a:pPr>
                <a:r>
                  <a:rPr lang="en-US"/>
                  <a:t>Gender</a:t>
                </a:r>
              </a:p>
            </c:rich>
          </c:tx>
          <c:layout/>
          <c:overlay val="0"/>
        </c:title>
        <c:majorTickMark val="out"/>
        <c:minorTickMark val="none"/>
        <c:tickLblPos val="nextTo"/>
        <c:crossAx val="148193280"/>
        <c:crosses val="autoZero"/>
        <c:auto val="1"/>
        <c:lblAlgn val="ctr"/>
        <c:lblOffset val="100"/>
        <c:noMultiLvlLbl val="0"/>
      </c:catAx>
      <c:valAx>
        <c:axId val="148193280"/>
        <c:scaling>
          <c:orientation val="minMax"/>
        </c:scaling>
        <c:delete val="0"/>
        <c:axPos val="l"/>
        <c:majorGridlines/>
        <c:title>
          <c:tx>
            <c:rich>
              <a:bodyPr rot="-5400000" vert="horz"/>
              <a:lstStyle/>
              <a:p>
                <a:pPr>
                  <a:defRPr/>
                </a:pPr>
                <a:r>
                  <a:rPr lang="en-US"/>
                  <a:t>Income</a:t>
                </a:r>
              </a:p>
            </c:rich>
          </c:tx>
          <c:layout/>
          <c:overlay val="0"/>
        </c:title>
        <c:numFmt formatCode="0" sourceLinked="1"/>
        <c:majorTickMark val="out"/>
        <c:minorTickMark val="none"/>
        <c:tickLblPos val="nextTo"/>
        <c:crossAx val="148191488"/>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a:lstStyle/>
          <a:p>
            <a:pPr>
              <a:defRPr/>
            </a:pPr>
            <a:r>
              <a:rPr lang="en-US"/>
              <a:t>Customer</a:t>
            </a:r>
            <a:r>
              <a:rPr lang="en-US" baseline="0"/>
              <a:t> Commute</a:t>
            </a:r>
            <a:endParaRPr lang="en-US"/>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Table'!$B$17:$B$18</c:f>
              <c:strCache>
                <c:ptCount val="1"/>
                <c:pt idx="0">
                  <c:v>No</c:v>
                </c:pt>
              </c:strCache>
            </c:strRef>
          </c:tx>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171</c:v>
                </c:pt>
                <c:pt idx="1">
                  <c:v>93</c:v>
                </c:pt>
                <c:pt idx="2">
                  <c:v>67</c:v>
                </c:pt>
                <c:pt idx="3">
                  <c:v>120</c:v>
                </c:pt>
                <c:pt idx="4">
                  <c:v>80</c:v>
                </c:pt>
              </c:numCache>
            </c:numRef>
          </c:val>
          <c:smooth val="0"/>
        </c:ser>
        <c:ser>
          <c:idx val="1"/>
          <c:order val="1"/>
          <c:tx>
            <c:strRef>
              <c:f>'Pivot Table'!$C$17:$C$18</c:f>
              <c:strCache>
                <c:ptCount val="1"/>
                <c:pt idx="0">
                  <c:v>Yes</c:v>
                </c:pt>
              </c:strCache>
            </c:strRef>
          </c:tx>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207</c:v>
                </c:pt>
                <c:pt idx="1">
                  <c:v>83</c:v>
                </c:pt>
                <c:pt idx="2">
                  <c:v>95</c:v>
                </c:pt>
                <c:pt idx="3">
                  <c:v>77</c:v>
                </c:pt>
                <c:pt idx="4">
                  <c:v>33</c:v>
                </c:pt>
              </c:numCache>
            </c:numRef>
          </c:val>
          <c:smooth val="0"/>
        </c:ser>
        <c:dLbls>
          <c:showLegendKey val="0"/>
          <c:showVal val="0"/>
          <c:showCatName val="0"/>
          <c:showSerName val="0"/>
          <c:showPercent val="0"/>
          <c:showBubbleSize val="0"/>
        </c:dLbls>
        <c:marker val="1"/>
        <c:smooth val="0"/>
        <c:axId val="183826688"/>
        <c:axId val="183836672"/>
      </c:lineChart>
      <c:catAx>
        <c:axId val="183826688"/>
        <c:scaling>
          <c:orientation val="minMax"/>
        </c:scaling>
        <c:delete val="0"/>
        <c:axPos val="b"/>
        <c:title>
          <c:tx>
            <c:rich>
              <a:bodyPr/>
              <a:lstStyle/>
              <a:p>
                <a:pPr>
                  <a:defRPr/>
                </a:pPr>
                <a:r>
                  <a:rPr lang="en-US"/>
                  <a:t>Commute</a:t>
                </a:r>
                <a:r>
                  <a:rPr lang="en-US" baseline="0"/>
                  <a:t> Distance</a:t>
                </a:r>
                <a:endParaRPr lang="en-US"/>
              </a:p>
            </c:rich>
          </c:tx>
          <c:layout/>
          <c:overlay val="0"/>
        </c:title>
        <c:majorTickMark val="out"/>
        <c:minorTickMark val="none"/>
        <c:tickLblPos val="nextTo"/>
        <c:crossAx val="183836672"/>
        <c:crosses val="autoZero"/>
        <c:auto val="1"/>
        <c:lblAlgn val="ctr"/>
        <c:lblOffset val="100"/>
        <c:noMultiLvlLbl val="0"/>
      </c:catAx>
      <c:valAx>
        <c:axId val="183836672"/>
        <c:scaling>
          <c:orientation val="minMax"/>
        </c:scaling>
        <c:delete val="0"/>
        <c:axPos val="l"/>
        <c:majorGridlines/>
        <c:numFmt formatCode="General" sourceLinked="1"/>
        <c:majorTickMark val="out"/>
        <c:minorTickMark val="none"/>
        <c:tickLblPos val="nextTo"/>
        <c:crossAx val="1838266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a:lstStyle/>
          <a:p>
            <a:pPr>
              <a:defRPr/>
            </a:pPr>
            <a:r>
              <a:rPr lang="en-US"/>
              <a:t>Customer</a:t>
            </a:r>
            <a:r>
              <a:rPr lang="en-US" baseline="0"/>
              <a:t> Age Brackets</a:t>
            </a:r>
            <a:endParaRPr lang="en-US"/>
          </a:p>
        </c:rich>
      </c:tx>
      <c:layout/>
      <c:overlay val="0"/>
    </c:title>
    <c:autoTitleDeleted val="0"/>
    <c:pivotFmts>
      <c:pivotFmt>
        <c:idx val="0"/>
      </c:pivotFmt>
      <c:pivotFmt>
        <c:idx val="1"/>
      </c:pivotFmt>
    </c:pivotFmts>
    <c:plotArea>
      <c:layout/>
      <c:lineChart>
        <c:grouping val="standard"/>
        <c:varyColors val="0"/>
        <c:ser>
          <c:idx val="0"/>
          <c:order val="0"/>
          <c:tx>
            <c:strRef>
              <c:f>'Pivot Table'!$B$37:$B$38</c:f>
              <c:strCache>
                <c:ptCount val="1"/>
                <c:pt idx="0">
                  <c:v>No</c:v>
                </c:pt>
              </c:strCache>
            </c:strRef>
          </c:tx>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326</c:v>
                </c:pt>
                <c:pt idx="2">
                  <c:v>134</c:v>
                </c:pt>
              </c:numCache>
            </c:numRef>
          </c:val>
          <c:smooth val="0"/>
        </c:ser>
        <c:ser>
          <c:idx val="1"/>
          <c:order val="1"/>
          <c:tx>
            <c:strRef>
              <c:f>'Pivot Table'!$C$37:$C$38</c:f>
              <c:strCache>
                <c:ptCount val="1"/>
                <c:pt idx="0">
                  <c:v>Yes</c:v>
                </c:pt>
              </c:strCache>
            </c:strRef>
          </c:tx>
          <c:cat>
            <c:strRef>
              <c:f>'Pivot Table'!$A$39:$A$42</c:f>
              <c:strCache>
                <c:ptCount val="3"/>
                <c:pt idx="0">
                  <c:v>Adolescent</c:v>
                </c:pt>
                <c:pt idx="1">
                  <c:v>Middle Age</c:v>
                </c:pt>
                <c:pt idx="2">
                  <c:v>Old</c:v>
                </c:pt>
              </c:strCache>
            </c:strRef>
          </c:cat>
          <c:val>
            <c:numRef>
              <c:f>'Pivot Table'!$C$39:$C$42</c:f>
              <c:numCache>
                <c:formatCode>General</c:formatCode>
                <c:ptCount val="3"/>
                <c:pt idx="0">
                  <c:v>41</c:v>
                </c:pt>
                <c:pt idx="1">
                  <c:v>393</c:v>
                </c:pt>
                <c:pt idx="2">
                  <c:v>61</c:v>
                </c:pt>
              </c:numCache>
            </c:numRef>
          </c:val>
          <c:smooth val="0"/>
        </c:ser>
        <c:dLbls>
          <c:showLegendKey val="0"/>
          <c:showVal val="0"/>
          <c:showCatName val="0"/>
          <c:showSerName val="0"/>
          <c:showPercent val="0"/>
          <c:showBubbleSize val="0"/>
        </c:dLbls>
        <c:marker val="1"/>
        <c:smooth val="0"/>
        <c:axId val="183882880"/>
        <c:axId val="183884416"/>
      </c:lineChart>
      <c:catAx>
        <c:axId val="183882880"/>
        <c:scaling>
          <c:orientation val="minMax"/>
        </c:scaling>
        <c:delete val="0"/>
        <c:axPos val="b"/>
        <c:title>
          <c:tx>
            <c:rich>
              <a:bodyPr/>
              <a:lstStyle/>
              <a:p>
                <a:pPr>
                  <a:defRPr/>
                </a:pPr>
                <a:r>
                  <a:rPr lang="en-US"/>
                  <a:t>Age Bracket</a:t>
                </a:r>
              </a:p>
            </c:rich>
          </c:tx>
          <c:layout/>
          <c:overlay val="0"/>
        </c:title>
        <c:majorTickMark val="out"/>
        <c:minorTickMark val="none"/>
        <c:tickLblPos val="nextTo"/>
        <c:crossAx val="183884416"/>
        <c:crosses val="autoZero"/>
        <c:auto val="1"/>
        <c:lblAlgn val="ctr"/>
        <c:lblOffset val="100"/>
        <c:noMultiLvlLbl val="0"/>
      </c:catAx>
      <c:valAx>
        <c:axId val="183884416"/>
        <c:scaling>
          <c:orientation val="minMax"/>
        </c:scaling>
        <c:delete val="0"/>
        <c:axPos val="l"/>
        <c:majorGridlines/>
        <c:numFmt formatCode="General" sourceLinked="1"/>
        <c:majorTickMark val="out"/>
        <c:minorTickMark val="none"/>
        <c:tickLblPos val="nextTo"/>
        <c:crossAx val="1838828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a:lstStyle/>
          <a:p>
            <a:pPr>
              <a:defRPr/>
            </a:pPr>
            <a:r>
              <a:rPr lang="en-US"/>
              <a:t>Avg</a:t>
            </a:r>
            <a:r>
              <a:rPr lang="en-US" baseline="0"/>
              <a:t> Income Per Gender</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Table'!$B$2:$B$3</c:f>
              <c:strCache>
                <c:ptCount val="1"/>
                <c:pt idx="0">
                  <c:v>No</c:v>
                </c:pt>
              </c:strCache>
            </c:strRef>
          </c:tx>
          <c:invertIfNegative val="0"/>
          <c:cat>
            <c:strRef>
              <c:f>'Pivot Table'!$A$4:$A$6</c:f>
              <c:strCache>
                <c:ptCount val="2"/>
                <c:pt idx="0">
                  <c:v>Female</c:v>
                </c:pt>
                <c:pt idx="1">
                  <c:v>Male</c:v>
                </c:pt>
              </c:strCache>
            </c:strRef>
          </c:cat>
          <c:val>
            <c:numRef>
              <c:f>'Pivot Table'!$B$4:$B$6</c:f>
              <c:numCache>
                <c:formatCode>0</c:formatCode>
                <c:ptCount val="2"/>
                <c:pt idx="0">
                  <c:v>53449.612403100778</c:v>
                </c:pt>
                <c:pt idx="1">
                  <c:v>56520.146520146518</c:v>
                </c:pt>
              </c:numCache>
            </c:numRef>
          </c:val>
        </c:ser>
        <c:ser>
          <c:idx val="1"/>
          <c:order val="1"/>
          <c:tx>
            <c:strRef>
              <c:f>'Pivot Table'!$C$2:$C$3</c:f>
              <c:strCache>
                <c:ptCount val="1"/>
                <c:pt idx="0">
                  <c:v>Yes</c:v>
                </c:pt>
              </c:strCache>
            </c:strRef>
          </c:tx>
          <c:invertIfNegative val="0"/>
          <c:cat>
            <c:strRef>
              <c:f>'Pivot Table'!$A$4:$A$6</c:f>
              <c:strCache>
                <c:ptCount val="2"/>
                <c:pt idx="0">
                  <c:v>Female</c:v>
                </c:pt>
                <c:pt idx="1">
                  <c:v>Male</c:v>
                </c:pt>
              </c:strCache>
            </c:strRef>
          </c:cat>
          <c:val>
            <c:numRef>
              <c:f>'Pivot Table'!$C$4:$C$6</c:f>
              <c:numCache>
                <c:formatCode>0</c:formatCode>
                <c:ptCount val="2"/>
                <c:pt idx="0">
                  <c:v>55267.489711934155</c:v>
                </c:pt>
                <c:pt idx="1">
                  <c:v>59603.174603174601</c:v>
                </c:pt>
              </c:numCache>
            </c:numRef>
          </c:val>
        </c:ser>
        <c:dLbls>
          <c:showLegendKey val="0"/>
          <c:showVal val="0"/>
          <c:showCatName val="0"/>
          <c:showSerName val="0"/>
          <c:showPercent val="0"/>
          <c:showBubbleSize val="0"/>
        </c:dLbls>
        <c:gapWidth val="150"/>
        <c:axId val="184553472"/>
        <c:axId val="184555776"/>
      </c:barChart>
      <c:catAx>
        <c:axId val="184553472"/>
        <c:scaling>
          <c:orientation val="minMax"/>
        </c:scaling>
        <c:delete val="0"/>
        <c:axPos val="b"/>
        <c:title>
          <c:tx>
            <c:rich>
              <a:bodyPr/>
              <a:lstStyle/>
              <a:p>
                <a:pPr>
                  <a:defRPr/>
                </a:pPr>
                <a:r>
                  <a:rPr lang="en-US"/>
                  <a:t>Gender</a:t>
                </a:r>
              </a:p>
            </c:rich>
          </c:tx>
          <c:layout/>
          <c:overlay val="0"/>
        </c:title>
        <c:majorTickMark val="out"/>
        <c:minorTickMark val="none"/>
        <c:tickLblPos val="nextTo"/>
        <c:crossAx val="184555776"/>
        <c:crosses val="autoZero"/>
        <c:auto val="1"/>
        <c:lblAlgn val="ctr"/>
        <c:lblOffset val="100"/>
        <c:noMultiLvlLbl val="0"/>
      </c:catAx>
      <c:valAx>
        <c:axId val="184555776"/>
        <c:scaling>
          <c:orientation val="minMax"/>
        </c:scaling>
        <c:delete val="0"/>
        <c:axPos val="l"/>
        <c:majorGridlines/>
        <c:title>
          <c:tx>
            <c:rich>
              <a:bodyPr rot="-5400000" vert="horz"/>
              <a:lstStyle/>
              <a:p>
                <a:pPr>
                  <a:defRPr/>
                </a:pPr>
                <a:r>
                  <a:rPr lang="en-US"/>
                  <a:t>Income</a:t>
                </a:r>
              </a:p>
            </c:rich>
          </c:tx>
          <c:layout/>
          <c:overlay val="0"/>
        </c:title>
        <c:numFmt formatCode="0" sourceLinked="1"/>
        <c:majorTickMark val="out"/>
        <c:minorTickMark val="none"/>
        <c:tickLblPos val="nextTo"/>
        <c:crossAx val="184553472"/>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a:lstStyle/>
          <a:p>
            <a:pPr>
              <a:defRPr/>
            </a:pPr>
            <a:r>
              <a:rPr lang="en-US"/>
              <a:t>Customer</a:t>
            </a:r>
            <a:r>
              <a:rPr lang="en-US" baseline="0"/>
              <a:t> Commute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Table'!$B$17:$B$18</c:f>
              <c:strCache>
                <c:ptCount val="1"/>
                <c:pt idx="0">
                  <c:v>No</c:v>
                </c:pt>
              </c:strCache>
            </c:strRef>
          </c:tx>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171</c:v>
                </c:pt>
                <c:pt idx="1">
                  <c:v>93</c:v>
                </c:pt>
                <c:pt idx="2">
                  <c:v>67</c:v>
                </c:pt>
                <c:pt idx="3">
                  <c:v>120</c:v>
                </c:pt>
                <c:pt idx="4">
                  <c:v>80</c:v>
                </c:pt>
              </c:numCache>
            </c:numRef>
          </c:val>
          <c:smooth val="0"/>
        </c:ser>
        <c:ser>
          <c:idx val="1"/>
          <c:order val="1"/>
          <c:tx>
            <c:strRef>
              <c:f>'Pivot Table'!$C$17:$C$18</c:f>
              <c:strCache>
                <c:ptCount val="1"/>
                <c:pt idx="0">
                  <c:v>Yes</c:v>
                </c:pt>
              </c:strCache>
            </c:strRef>
          </c:tx>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207</c:v>
                </c:pt>
                <c:pt idx="1">
                  <c:v>83</c:v>
                </c:pt>
                <c:pt idx="2">
                  <c:v>95</c:v>
                </c:pt>
                <c:pt idx="3">
                  <c:v>77</c:v>
                </c:pt>
                <c:pt idx="4">
                  <c:v>33</c:v>
                </c:pt>
              </c:numCache>
            </c:numRef>
          </c:val>
          <c:smooth val="0"/>
        </c:ser>
        <c:dLbls>
          <c:showLegendKey val="0"/>
          <c:showVal val="0"/>
          <c:showCatName val="0"/>
          <c:showSerName val="0"/>
          <c:showPercent val="0"/>
          <c:showBubbleSize val="0"/>
        </c:dLbls>
        <c:marker val="1"/>
        <c:smooth val="0"/>
        <c:axId val="140872704"/>
        <c:axId val="140909952"/>
      </c:lineChart>
      <c:catAx>
        <c:axId val="140872704"/>
        <c:scaling>
          <c:orientation val="minMax"/>
        </c:scaling>
        <c:delete val="0"/>
        <c:axPos val="b"/>
        <c:title>
          <c:tx>
            <c:rich>
              <a:bodyPr/>
              <a:lstStyle/>
              <a:p>
                <a:pPr>
                  <a:defRPr/>
                </a:pPr>
                <a:r>
                  <a:rPr lang="en-US"/>
                  <a:t>Commute</a:t>
                </a:r>
                <a:r>
                  <a:rPr lang="en-US" baseline="0"/>
                  <a:t> Distance</a:t>
                </a:r>
                <a:endParaRPr lang="en-US"/>
              </a:p>
            </c:rich>
          </c:tx>
          <c:layout/>
          <c:overlay val="0"/>
        </c:title>
        <c:majorTickMark val="out"/>
        <c:minorTickMark val="none"/>
        <c:tickLblPos val="nextTo"/>
        <c:crossAx val="140909952"/>
        <c:crosses val="autoZero"/>
        <c:auto val="1"/>
        <c:lblAlgn val="ctr"/>
        <c:lblOffset val="100"/>
        <c:noMultiLvlLbl val="0"/>
      </c:catAx>
      <c:valAx>
        <c:axId val="140909952"/>
        <c:scaling>
          <c:orientation val="minMax"/>
        </c:scaling>
        <c:delete val="0"/>
        <c:axPos val="l"/>
        <c:majorGridlines/>
        <c:numFmt formatCode="General" sourceLinked="1"/>
        <c:majorTickMark val="out"/>
        <c:minorTickMark val="none"/>
        <c:tickLblPos val="nextTo"/>
        <c:crossAx val="1408727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a:lstStyle/>
          <a:p>
            <a:pPr>
              <a:defRPr/>
            </a:pPr>
            <a:r>
              <a:rPr lang="en-US"/>
              <a:t>Customer</a:t>
            </a:r>
            <a:r>
              <a:rPr lang="en-US" baseline="0"/>
              <a:t> Age Brackets</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Table'!$B$37:$B$38</c:f>
              <c:strCache>
                <c:ptCount val="1"/>
                <c:pt idx="0">
                  <c:v>No</c:v>
                </c:pt>
              </c:strCache>
            </c:strRef>
          </c:tx>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326</c:v>
                </c:pt>
                <c:pt idx="2">
                  <c:v>134</c:v>
                </c:pt>
              </c:numCache>
            </c:numRef>
          </c:val>
          <c:smooth val="0"/>
        </c:ser>
        <c:ser>
          <c:idx val="1"/>
          <c:order val="1"/>
          <c:tx>
            <c:strRef>
              <c:f>'Pivot Table'!$C$37:$C$38</c:f>
              <c:strCache>
                <c:ptCount val="1"/>
                <c:pt idx="0">
                  <c:v>Yes</c:v>
                </c:pt>
              </c:strCache>
            </c:strRef>
          </c:tx>
          <c:cat>
            <c:strRef>
              <c:f>'Pivot Table'!$A$39:$A$42</c:f>
              <c:strCache>
                <c:ptCount val="3"/>
                <c:pt idx="0">
                  <c:v>Adolescent</c:v>
                </c:pt>
                <c:pt idx="1">
                  <c:v>Middle Age</c:v>
                </c:pt>
                <c:pt idx="2">
                  <c:v>Old</c:v>
                </c:pt>
              </c:strCache>
            </c:strRef>
          </c:cat>
          <c:val>
            <c:numRef>
              <c:f>'Pivot Table'!$C$39:$C$42</c:f>
              <c:numCache>
                <c:formatCode>General</c:formatCode>
                <c:ptCount val="3"/>
                <c:pt idx="0">
                  <c:v>41</c:v>
                </c:pt>
                <c:pt idx="1">
                  <c:v>393</c:v>
                </c:pt>
                <c:pt idx="2">
                  <c:v>61</c:v>
                </c:pt>
              </c:numCache>
            </c:numRef>
          </c:val>
          <c:smooth val="0"/>
        </c:ser>
        <c:dLbls>
          <c:showLegendKey val="0"/>
          <c:showVal val="0"/>
          <c:showCatName val="0"/>
          <c:showSerName val="0"/>
          <c:showPercent val="0"/>
          <c:showBubbleSize val="0"/>
        </c:dLbls>
        <c:marker val="1"/>
        <c:smooth val="0"/>
        <c:axId val="215788928"/>
        <c:axId val="143179776"/>
      </c:lineChart>
      <c:catAx>
        <c:axId val="215788928"/>
        <c:scaling>
          <c:orientation val="minMax"/>
        </c:scaling>
        <c:delete val="0"/>
        <c:axPos val="b"/>
        <c:title>
          <c:tx>
            <c:rich>
              <a:bodyPr/>
              <a:lstStyle/>
              <a:p>
                <a:pPr>
                  <a:defRPr/>
                </a:pPr>
                <a:r>
                  <a:rPr lang="en-US"/>
                  <a:t>Age Bracket</a:t>
                </a:r>
              </a:p>
            </c:rich>
          </c:tx>
          <c:layout/>
          <c:overlay val="0"/>
        </c:title>
        <c:majorTickMark val="out"/>
        <c:minorTickMark val="none"/>
        <c:tickLblPos val="nextTo"/>
        <c:crossAx val="143179776"/>
        <c:crosses val="autoZero"/>
        <c:auto val="1"/>
        <c:lblAlgn val="ctr"/>
        <c:lblOffset val="100"/>
        <c:noMultiLvlLbl val="0"/>
      </c:catAx>
      <c:valAx>
        <c:axId val="143179776"/>
        <c:scaling>
          <c:orientation val="minMax"/>
        </c:scaling>
        <c:delete val="0"/>
        <c:axPos val="l"/>
        <c:majorGridlines/>
        <c:numFmt formatCode="General" sourceLinked="1"/>
        <c:majorTickMark val="out"/>
        <c:minorTickMark val="none"/>
        <c:tickLblPos val="nextTo"/>
        <c:crossAx val="2157889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26670</xdr:rowOff>
    </xdr:from>
    <xdr:to>
      <xdr:col>12</xdr:col>
      <xdr:colOff>304800</xdr:colOff>
      <xdr:row>15</xdr:row>
      <xdr:rowOff>26670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16</xdr:row>
      <xdr:rowOff>118110</xdr:rowOff>
    </xdr:from>
    <xdr:to>
      <xdr:col>12</xdr:col>
      <xdr:colOff>312420</xdr:colOff>
      <xdr:row>31</xdr:row>
      <xdr:rowOff>118110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34</xdr:row>
      <xdr:rowOff>26670</xdr:rowOff>
    </xdr:from>
    <xdr:to>
      <xdr:col>12</xdr:col>
      <xdr:colOff>228600</xdr:colOff>
      <xdr:row>49</xdr:row>
      <xdr:rowOff>26670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6</xdr:row>
      <xdr:rowOff>0</xdr:rowOff>
    </xdr:from>
    <xdr:to>
      <xdr:col>9</xdr:col>
      <xdr:colOff>0</xdr:colOff>
      <xdr:row>21</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21</xdr:row>
      <xdr:rowOff>0</xdr:rowOff>
    </xdr:from>
    <xdr:to>
      <xdr:col>15</xdr:col>
      <xdr:colOff>22860</xdr:colOff>
      <xdr:row>36</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xdr:colOff>
      <xdr:row>6</xdr:row>
      <xdr:rowOff>0</xdr:rowOff>
    </xdr:from>
    <xdr:to>
      <xdr:col>15</xdr:col>
      <xdr:colOff>7620</xdr:colOff>
      <xdr:row>21</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7621</xdr:rowOff>
    </xdr:from>
    <xdr:to>
      <xdr:col>3</xdr:col>
      <xdr:colOff>0</xdr:colOff>
      <xdr:row>11</xdr:row>
      <xdr:rowOff>15241</xdr:rowOff>
    </xdr:to>
    <mc:AlternateContent xmlns:mc="http://schemas.openxmlformats.org/markup-compatibility/2006">
      <mc:Choice xmlns:a14="http://schemas.microsoft.com/office/drawing/2010/main" Requires="a14">
        <xdr:graphicFrame macro="">
          <xdr:nvGraphicFramePr>
            <xdr:cNvPr id="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04901"/>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7621</xdr:rowOff>
    </xdr:from>
    <xdr:to>
      <xdr:col>3</xdr:col>
      <xdr:colOff>0</xdr:colOff>
      <xdr:row>17</xdr:row>
      <xdr:rowOff>106681</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9301"/>
              <a:ext cx="18288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114301</xdr:rowOff>
    </xdr:from>
    <xdr:to>
      <xdr:col>3</xdr:col>
      <xdr:colOff>0</xdr:colOff>
      <xdr:row>27</xdr:row>
      <xdr:rowOff>1</xdr:rowOff>
    </xdr:to>
    <mc:AlternateContent xmlns:mc="http://schemas.openxmlformats.org/markup-compatibility/2006">
      <mc:Choice xmlns:a14="http://schemas.microsoft.com/office/drawing/2010/main"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2326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dra Wisor" refreshedDate="45965.642620833336" createdVersion="4" refreshedVersion="4" minRefreshableVersion="3" recordCount="102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4"/>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Region" cache="Slicer_Region" caption="Region" rowHeight="234950"/>
  <slicer name="Education" cache="Slicer_Education" caption="Education" rowHeight="234950"/>
</slicers>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C11" sqref="C11"/>
    </sheetView>
  </sheetViews>
  <sheetFormatPr defaultColWidth="11.88671875" defaultRowHeight="14.4" x14ac:dyDescent="0.3"/>
  <cols>
    <col min="1" max="3" width="13.77734375" customWidth="1"/>
    <col min="4" max="4" width="13.77734375" style="3" customWidth="1"/>
    <col min="5" max="14" width="13.77734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"Old",IF(L2&gt;=31, "Middle Age", IF(L2&lt;31, "Adolescent",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"Old",IF(L3&gt;=31, "Middle Age", IF(L3&lt;31,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"Old",IF(L67&gt;=31, "Middle Age", 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 IF(L131&lt;31,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 "Old",IF(L195&gt;=31, "Middle Age", IF(L195&lt;31,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 IF(L259&lt;31, "Adolescent", "Invalid")))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 IF(L323&lt;31,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 IF(L387&lt;31, "Adolescent", "Invalid")))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 IF(L451&lt;31,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 "Old",IF(L515&gt;=31, "Middle Age", 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 IF(L579&lt;31,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 "Old",IF(L643&gt;=31, "Middle Age", 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 "Old",IF(L707&gt;=31, "Middle Age", 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 IF(L771&lt;31,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 IF(L835&lt;31,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 IF(L899&lt;31, "Adolescent", "Invalid")))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26" si="15">IF(L963&gt;54, "Old",IF(L963&gt;=31, "Middle Age", IF(L963&lt;31, "Adolescent", "Invalid")))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row r="1002" spans="1:14" x14ac:dyDescent="0.3">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37</v>
      </c>
      <c r="C1005" t="s">
        <v>39</v>
      </c>
      <c r="D1005" s="3">
        <v>90000</v>
      </c>
      <c r="E1005">
        <v>0</v>
      </c>
      <c r="F1005" t="s">
        <v>13</v>
      </c>
      <c r="G1005" t="s">
        <v>21</v>
      </c>
      <c r="H1005" t="s">
        <v>18</v>
      </c>
      <c r="I1005">
        <v>4</v>
      </c>
      <c r="J1005" t="s">
        <v>47</v>
      </c>
      <c r="K1005" t="s">
        <v>24</v>
      </c>
      <c r="L1005">
        <v>36</v>
      </c>
      <c r="M1005" t="str">
        <f t="shared" si="15"/>
        <v>Middle Age</v>
      </c>
      <c r="N1005" t="s">
        <v>18</v>
      </c>
    </row>
    <row r="1006" spans="1:14" x14ac:dyDescent="0.3">
      <c r="A1006">
        <v>11434</v>
      </c>
      <c r="B1006" t="s">
        <v>36</v>
      </c>
      <c r="C1006" t="s">
        <v>38</v>
      </c>
      <c r="D1006" s="3">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37</v>
      </c>
      <c r="C1013" t="s">
        <v>38</v>
      </c>
      <c r="D1013" s="3">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37</v>
      </c>
      <c r="C1015" t="s">
        <v>39</v>
      </c>
      <c r="D1015" s="3">
        <v>80000</v>
      </c>
      <c r="E1015">
        <v>0</v>
      </c>
      <c r="F1015" t="s">
        <v>13</v>
      </c>
      <c r="G1015" t="s">
        <v>21</v>
      </c>
      <c r="H1015" t="s">
        <v>15</v>
      </c>
      <c r="I1015">
        <v>4</v>
      </c>
      <c r="J1015" t="s">
        <v>47</v>
      </c>
      <c r="K1015" t="s">
        <v>24</v>
      </c>
      <c r="L1015">
        <v>35</v>
      </c>
      <c r="M1015" t="str">
        <f t="shared" si="15"/>
        <v>Middle Age</v>
      </c>
      <c r="N1015" t="s">
        <v>18</v>
      </c>
    </row>
    <row r="1016" spans="1:14" x14ac:dyDescent="0.3">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x14ac:dyDescent="0.3">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37</v>
      </c>
      <c r="C1020" t="s">
        <v>38</v>
      </c>
      <c r="D1020" s="3">
        <v>30000</v>
      </c>
      <c r="E1020">
        <v>0</v>
      </c>
      <c r="F1020" t="s">
        <v>19</v>
      </c>
      <c r="G1020" t="s">
        <v>20</v>
      </c>
      <c r="H1020" t="s">
        <v>18</v>
      </c>
      <c r="I1020">
        <v>1</v>
      </c>
      <c r="J1020" t="s">
        <v>16</v>
      </c>
      <c r="K1020" t="s">
        <v>17</v>
      </c>
      <c r="L1020">
        <v>29</v>
      </c>
      <c r="M1020" t="str">
        <f t="shared" si="15"/>
        <v>Adolescent</v>
      </c>
      <c r="N1020" t="s">
        <v>15</v>
      </c>
    </row>
    <row r="1021" spans="1:14" x14ac:dyDescent="0.3">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x14ac:dyDescent="0.3">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36</v>
      </c>
      <c r="C1025" t="s">
        <v>38</v>
      </c>
      <c r="D1025" s="3">
        <v>10000</v>
      </c>
      <c r="E1025">
        <v>0</v>
      </c>
      <c r="F1025" t="s">
        <v>19</v>
      </c>
      <c r="G1025" t="s">
        <v>25</v>
      </c>
      <c r="H1025" t="s">
        <v>18</v>
      </c>
      <c r="I1025">
        <v>1</v>
      </c>
      <c r="J1025" t="s">
        <v>16</v>
      </c>
      <c r="K1025" t="s">
        <v>24</v>
      </c>
      <c r="L1025">
        <v>26</v>
      </c>
      <c r="M1025" t="str">
        <f t="shared" si="15"/>
        <v>Adolescent</v>
      </c>
      <c r="N1025" t="s">
        <v>15</v>
      </c>
    </row>
    <row r="1026" spans="1:14" x14ac:dyDescent="0.3">
      <c r="A1026">
        <v>20942</v>
      </c>
      <c r="B1026" t="s">
        <v>37</v>
      </c>
      <c r="C1026" t="s">
        <v>39</v>
      </c>
      <c r="D1026" s="3">
        <v>20000</v>
      </c>
      <c r="E1026">
        <v>0</v>
      </c>
      <c r="F1026" t="s">
        <v>27</v>
      </c>
      <c r="G1026" t="s">
        <v>25</v>
      </c>
      <c r="H1026" t="s">
        <v>18</v>
      </c>
      <c r="I1026">
        <v>1</v>
      </c>
      <c r="J1026" t="s">
        <v>23</v>
      </c>
      <c r="K1026" t="s">
        <v>17</v>
      </c>
      <c r="L1026">
        <v>31</v>
      </c>
      <c r="M1026" t="str">
        <f t="shared" si="15"/>
        <v>Middle Age</v>
      </c>
      <c r="N1026" t="s">
        <v>18</v>
      </c>
    </row>
    <row r="1027" spans="1:14" x14ac:dyDescent="0.3">
      <c r="A1027">
        <v>18484</v>
      </c>
      <c r="B1027" t="s">
        <v>37</v>
      </c>
      <c r="C1027" t="s">
        <v>38</v>
      </c>
      <c r="D1027" s="3">
        <v>80000</v>
      </c>
      <c r="E1027">
        <v>2</v>
      </c>
      <c r="F1027" t="s">
        <v>27</v>
      </c>
      <c r="G1027" t="s">
        <v>14</v>
      </c>
      <c r="H1027" t="s">
        <v>18</v>
      </c>
      <c r="I1027">
        <v>2</v>
      </c>
      <c r="J1027" t="s">
        <v>26</v>
      </c>
      <c r="K1027" t="s">
        <v>24</v>
      </c>
      <c r="L1027">
        <v>50</v>
      </c>
      <c r="M1027" t="str">
        <f t="shared" ref="M1027" si="16">IF(L1027&gt;54, "Old",IF(L1027&gt;=31, "Middle Age", IF(L1027&lt;31, "Adolescent", "Invalid")))</f>
        <v>Middle Age</v>
      </c>
      <c r="N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2"/>
  <sheetViews>
    <sheetView topLeftCell="A25" workbookViewId="0">
      <selection activeCell="P45" sqref="P45"/>
    </sheetView>
  </sheetViews>
  <sheetFormatPr defaultRowHeight="14.4" x14ac:dyDescent="0.3"/>
  <cols>
    <col min="1" max="1" width="17" customWidth="1"/>
    <col min="2" max="2" width="15.5546875" customWidth="1"/>
    <col min="3" max="3" width="6" customWidth="1"/>
    <col min="4" max="4" width="10.77734375" customWidth="1"/>
  </cols>
  <sheetData>
    <row r="2" spans="1:4" x14ac:dyDescent="0.3">
      <c r="A2" s="5" t="s">
        <v>44</v>
      </c>
      <c r="B2" s="5" t="s">
        <v>45</v>
      </c>
    </row>
    <row r="3" spans="1:4" x14ac:dyDescent="0.3">
      <c r="A3" s="5" t="s">
        <v>42</v>
      </c>
      <c r="B3" t="s">
        <v>18</v>
      </c>
      <c r="C3" t="s">
        <v>15</v>
      </c>
      <c r="D3" t="s">
        <v>43</v>
      </c>
    </row>
    <row r="4" spans="1:4" x14ac:dyDescent="0.3">
      <c r="A4" s="6" t="s">
        <v>39</v>
      </c>
      <c r="B4" s="7">
        <v>53449.612403100778</v>
      </c>
      <c r="C4" s="7">
        <v>55267.489711934155</v>
      </c>
      <c r="D4" s="7">
        <v>54331.337325349305</v>
      </c>
    </row>
    <row r="5" spans="1:4" x14ac:dyDescent="0.3">
      <c r="A5" s="6" t="s">
        <v>38</v>
      </c>
      <c r="B5" s="7">
        <v>56520.146520146518</v>
      </c>
      <c r="C5" s="7">
        <v>59603.174603174601</v>
      </c>
      <c r="D5" s="7">
        <v>58000</v>
      </c>
    </row>
    <row r="6" spans="1:4" x14ac:dyDescent="0.3">
      <c r="A6" s="6" t="s">
        <v>43</v>
      </c>
      <c r="B6" s="7">
        <v>55028.248587570619</v>
      </c>
      <c r="C6" s="7">
        <v>57474.747474747477</v>
      </c>
      <c r="D6" s="7">
        <v>56208.576998050681</v>
      </c>
    </row>
    <row r="17" spans="1:4" x14ac:dyDescent="0.3">
      <c r="A17" s="5" t="s">
        <v>46</v>
      </c>
      <c r="B17" s="5" t="s">
        <v>45</v>
      </c>
    </row>
    <row r="18" spans="1:4" x14ac:dyDescent="0.3">
      <c r="A18" s="5" t="s">
        <v>42</v>
      </c>
      <c r="B18" t="s">
        <v>18</v>
      </c>
      <c r="C18" t="s">
        <v>15</v>
      </c>
      <c r="D18" t="s">
        <v>43</v>
      </c>
    </row>
    <row r="19" spans="1:4" x14ac:dyDescent="0.3">
      <c r="A19" s="6" t="s">
        <v>16</v>
      </c>
      <c r="B19" s="4">
        <v>171</v>
      </c>
      <c r="C19" s="4">
        <v>207</v>
      </c>
      <c r="D19" s="4">
        <v>378</v>
      </c>
    </row>
    <row r="20" spans="1:4" x14ac:dyDescent="0.3">
      <c r="A20" s="6" t="s">
        <v>26</v>
      </c>
      <c r="B20" s="4">
        <v>93</v>
      </c>
      <c r="C20" s="4">
        <v>83</v>
      </c>
      <c r="D20" s="4">
        <v>176</v>
      </c>
    </row>
    <row r="21" spans="1:4" x14ac:dyDescent="0.3">
      <c r="A21" s="6" t="s">
        <v>22</v>
      </c>
      <c r="B21" s="4">
        <v>67</v>
      </c>
      <c r="C21" s="4">
        <v>95</v>
      </c>
      <c r="D21" s="4">
        <v>162</v>
      </c>
    </row>
    <row r="22" spans="1:4" x14ac:dyDescent="0.3">
      <c r="A22" s="6" t="s">
        <v>23</v>
      </c>
      <c r="B22" s="4">
        <v>120</v>
      </c>
      <c r="C22" s="4">
        <v>77</v>
      </c>
      <c r="D22" s="4">
        <v>197</v>
      </c>
    </row>
    <row r="23" spans="1:4" x14ac:dyDescent="0.3">
      <c r="A23" s="6" t="s">
        <v>47</v>
      </c>
      <c r="B23" s="4">
        <v>80</v>
      </c>
      <c r="C23" s="4">
        <v>33</v>
      </c>
      <c r="D23" s="4">
        <v>113</v>
      </c>
    </row>
    <row r="24" spans="1:4" x14ac:dyDescent="0.3">
      <c r="A24" s="6" t="s">
        <v>43</v>
      </c>
      <c r="B24" s="4">
        <v>531</v>
      </c>
      <c r="C24" s="4">
        <v>495</v>
      </c>
      <c r="D24" s="4">
        <v>1026</v>
      </c>
    </row>
    <row r="37" spans="1:4" x14ac:dyDescent="0.3">
      <c r="A37" s="5" t="s">
        <v>46</v>
      </c>
      <c r="B37" s="5" t="s">
        <v>45</v>
      </c>
    </row>
    <row r="38" spans="1:4" x14ac:dyDescent="0.3">
      <c r="A38" s="5" t="s">
        <v>42</v>
      </c>
      <c r="B38" t="s">
        <v>18</v>
      </c>
      <c r="C38" t="s">
        <v>15</v>
      </c>
      <c r="D38" t="s">
        <v>43</v>
      </c>
    </row>
    <row r="39" spans="1:4" x14ac:dyDescent="0.3">
      <c r="A39" s="6" t="s">
        <v>48</v>
      </c>
      <c r="B39" s="4">
        <v>71</v>
      </c>
      <c r="C39" s="4">
        <v>41</v>
      </c>
      <c r="D39" s="4">
        <v>112</v>
      </c>
    </row>
    <row r="40" spans="1:4" x14ac:dyDescent="0.3">
      <c r="A40" s="6" t="s">
        <v>41</v>
      </c>
      <c r="B40" s="4">
        <v>326</v>
      </c>
      <c r="C40" s="4">
        <v>393</v>
      </c>
      <c r="D40" s="4">
        <v>719</v>
      </c>
    </row>
    <row r="41" spans="1:4" x14ac:dyDescent="0.3">
      <c r="A41" s="6" t="s">
        <v>49</v>
      </c>
      <c r="B41" s="4">
        <v>134</v>
      </c>
      <c r="C41" s="4">
        <v>61</v>
      </c>
      <c r="D41" s="4">
        <v>195</v>
      </c>
    </row>
    <row r="42" spans="1:4" x14ac:dyDescent="0.3">
      <c r="A42" s="6" t="s">
        <v>43</v>
      </c>
      <c r="B42" s="4">
        <v>531</v>
      </c>
      <c r="C42" s="4">
        <v>495</v>
      </c>
      <c r="D42" s="4">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topLeftCell="A4" workbookViewId="0">
      <selection activeCell="R17" sqref="R17"/>
    </sheetView>
  </sheetViews>
  <sheetFormatPr defaultRowHeight="14.4" x14ac:dyDescent="0.3"/>
  <sheetData>
    <row r="1" spans="1:15" ht="14.4" customHeight="1" x14ac:dyDescent="0.3">
      <c r="A1" s="8" t="s">
        <v>50</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row r="4" spans="1:15" ht="14.4" customHeight="1" x14ac:dyDescent="0.3">
      <c r="A4" s="8"/>
      <c r="B4" s="8"/>
      <c r="C4" s="8"/>
      <c r="D4" s="8"/>
      <c r="E4" s="8"/>
      <c r="F4" s="8"/>
      <c r="G4" s="8"/>
      <c r="H4" s="8"/>
      <c r="I4" s="8"/>
      <c r="J4" s="8"/>
      <c r="K4" s="8"/>
      <c r="L4" s="8"/>
      <c r="M4" s="8"/>
      <c r="N4" s="8"/>
      <c r="O4" s="8"/>
    </row>
    <row r="5" spans="1:15" ht="14.4" customHeight="1" x14ac:dyDescent="0.3">
      <c r="A5" s="8"/>
      <c r="B5" s="8"/>
      <c r="C5" s="8"/>
      <c r="D5" s="8"/>
      <c r="E5" s="8"/>
      <c r="F5" s="8"/>
      <c r="G5" s="8"/>
      <c r="H5" s="8"/>
      <c r="I5" s="8"/>
      <c r="J5" s="8"/>
      <c r="K5" s="8"/>
      <c r="L5" s="8"/>
      <c r="M5" s="8"/>
      <c r="N5" s="8"/>
      <c r="O5" s="8"/>
    </row>
    <row r="6" spans="1:15" ht="14.4" customHeight="1"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Audra Wisor</cp:lastModifiedBy>
  <dcterms:created xsi:type="dcterms:W3CDTF">2022-03-18T02:50:57Z</dcterms:created>
  <dcterms:modified xsi:type="dcterms:W3CDTF">2025-11-04T20:53:09Z</dcterms:modified>
</cp:coreProperties>
</file>